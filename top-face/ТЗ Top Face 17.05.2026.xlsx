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есь отдел" sheetId="1" r:id="rId5"/>
    <sheet state="visible" name="Менеджеры за год" sheetId="2" r:id="rId6"/>
    <sheet state="visible" name="Менеджеры по месяцам" sheetId="3" r:id="rId7"/>
    <sheet state="visible" name="Инфографика Весь отдел" sheetId="4" r:id="rId8"/>
    <sheet state="visible" name="Инфографика Менеджеры за год" sheetId="5" r:id="rId9"/>
    <sheet state="visible" name="Инфографика менеджеры по месяца" sheetId="6" r:id="rId10"/>
    <sheet state="visible" name="Аналитическое заключение" sheetId="7" r:id="rId11"/>
  </sheets>
  <definedNames/>
  <calcPr/>
</workbook>
</file>

<file path=xl/sharedStrings.xml><?xml version="1.0" encoding="utf-8"?>
<sst xmlns="http://schemas.openxmlformats.org/spreadsheetml/2006/main" count="177" uniqueCount="53">
  <si>
    <t>Пролонгации в первый месяц</t>
  </si>
  <si>
    <t>Пролонгации через месяц</t>
  </si>
  <si>
    <t>Месяц</t>
  </si>
  <si>
    <t>к пролонгации</t>
  </si>
  <si>
    <t>пролонгировано</t>
  </si>
  <si>
    <t>коэффициент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</si>
  <si>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</si>
  <si>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</si>
  <si>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</si>
  <si>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</si>
  <si>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</si>
  <si>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</si>
  <si>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</si>
  <si>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</si>
  <si>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</si>
  <si>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</si>
  <si>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</si>
  <si>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</si>
  <si>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Менеджер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</si>
  <si>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</si>
  <si>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</si>
  <si>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</si>
  <si>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</si>
  <si>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</si>
  <si>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</si>
  <si>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</si>
  <si>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</si>
  <si>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Коэффициент 1</t>
  </si>
  <si>
    <t>Коэффициент 2</t>
  </si>
  <si>
    <t>Весь отдел</t>
  </si>
  <si>
    <t>База 1 месяц</t>
  </si>
  <si>
    <t>База 2 месяц</t>
  </si>
  <si>
    <t>Коэф. 1 месяц</t>
  </si>
  <si>
    <t>Коэф. 2 месяц</t>
  </si>
  <si>
    <t>Пояснение к диаграмме</t>
  </si>
  <si>
    <t>Диаграмма показывает динамику базы к пролонгации и коэффициентов пролонгации по месяцам. Коэффициент 1-го месяца отражает основную пролонгацию сразу после завершения проекта, коэффициент 2-го месяца — дополнительный возврат проектов, которые не были продлены в первый месяц.</t>
  </si>
  <si>
    <t>Краткий вывод</t>
  </si>
  <si>
    <t>Основной объём пролонгаций формируется в первый месяц. Второй месяц даёт небольшой дополнительный вклад: в большинстве месяцев коэффициент через месяц остаётся ниже 10%.</t>
  </si>
  <si>
    <t>Менеджеры за год</t>
  </si>
  <si>
    <t>Коэффициент 1 месяц</t>
  </si>
  <si>
    <t>Примечание к данным</t>
  </si>
  <si>
    <t>Важно: высокий показатель при малой базе следует интерпретировать осторожно. Например, у Петровой Анны Дмитриевны коэффициент рассчитан по 1 проекту.</t>
  </si>
  <si>
    <t>Примечание к диаграмме</t>
  </si>
  <si>
    <t>Диаграмма сравнивает менеджеров по годовому коэффициенту пролонгации в первый месяц. Коэффициент считается по сумме отгрузки, поэтому может быть выше 100%, если после пролонгации сумма отгрузки выросла.</t>
  </si>
  <si>
    <t>Примечание к тепловой карте</t>
  </si>
  <si>
    <t>Цветовая шкала показывает относительное сравнение менеджеров внутри каждого месяца, а не абсолютную оценку результата.
Зелёный цвет означает более высокий коэффициент среди менеджеров в данном месяце,
красный — более низкий. Пустые ячейки означают отсутствие базы для расчёта.</t>
  </si>
  <si>
    <t>Краткий аналитический вывод</t>
  </si>
  <si>
    <t>По итогам 2023 года основной объём пролонгаций формируется в первый месяц после завершения проекта. Коэффициент пролонгации по отделу в первый месяц составил 53.61%: из 313 попыток пролонгации положительная отгрузка в первый месяц была зафиксирована в 158 случаях.</t>
  </si>
  <si>
    <t>Коэффициент пролонгации через месяц существенно ниже — 5.11%. Это объясняется тем, что во второй месяц попадают только проекты, которые не были пролонгированы сразу. Из 152 таких попыток положительная отгрузка во второй месяц появилась только в 15 случаях. Это показывает, что если проект не продлевается в первый месяц, вероятность его последующего возврата заметно снижается.</t>
  </si>
  <si>
    <t>По месячной динамике лучший результат отдела по коэффициенту 1-го месяца наблюдается в октябре — 81.77%, также высокие значения были в феврале — 78.26% и марте — 64.60%. Наиболее слабый месяц по первичной пролонгации — июнь — 22.10%.</t>
  </si>
  <si>
    <t>Среди менеджеров по годовому коэффициенту 1-го месяца высокие результаты показывают Смирнова Ольга Владимировна — 68.35%, Михайлов Андрей Сергеевич — 66.49%, Соколова Анастасия Викторовна — 57.91%. У Петровой Анны Дмитриевны коэффициент составляет 111.12%, однако показатель рассчитан только по одному проекту, поэтому его следует интерпретировать осторожно.</t>
  </si>
  <si>
    <t>По коэффициенту 2-го месяца заметно выделяется Смирнова Ольга Владимировна — 25.37%. У большинства менеджеров вклад второго месяца низкий или отсутствует, что дополнительно подтверждает: ключевая зона влияния аккаунт-менеджеров — пролонгация в первый месяц после завершения проекта.</t>
  </si>
  <si>
    <t>Коэффициенты выше 100% не являются ошибкой: они возможны, если сумма отгрузки после пролонгации превышает сумму отгрузки в последний месяц реализации проекта.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</si>
</sst>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6" fillId="0" fontId="3" numFmtId="164" xfId="0" applyAlignment="1" applyBorder="1" applyFont="1" applyNumberFormat="1">
      <alignment readingOrder="0"/>
    </xf>
    <xf borderId="6" fillId="0" fontId="3" numFmtId="10" xfId="0" applyAlignment="1" applyBorder="1" applyFont="1" applyNumberFormat="1">
      <alignment readingOrder="0"/>
    </xf>
    <xf borderId="5" fillId="0" fontId="2" numFmtId="0" xfId="0" applyBorder="1" applyFont="1"/>
    <xf borderId="6" fillId="0" fontId="3" numFmtId="0" xfId="0" applyAlignment="1" applyBorder="1" applyFont="1">
      <alignment horizontal="left" readingOrder="0" shrinkToFit="0" vertical="center" wrapText="1"/>
    </xf>
    <xf borderId="6" fillId="0" fontId="3" numFmtId="164" xfId="0" applyAlignment="1" applyBorder="1" applyFont="1" applyNumberFormat="1">
      <alignment horizontal="right" readingOrder="0" shrinkToFit="0" vertical="center" wrapText="1"/>
    </xf>
    <xf borderId="6" fillId="0" fontId="3" numFmtId="10" xfId="0" applyAlignment="1" applyBorder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left"/>
    </xf>
    <xf borderId="6" fillId="0" fontId="3" numFmtId="164" xfId="0" applyAlignment="1" applyBorder="1" applyFont="1" applyNumberFormat="1">
      <alignment horizontal="right" shrinkToFit="0" vertical="center" wrapText="1"/>
    </xf>
    <xf borderId="2" fillId="3" fontId="1" numFmtId="0" xfId="0" applyAlignment="1" applyBorder="1" applyFill="1" applyFont="1">
      <alignment horizontal="center" readingOrder="0" vertical="center"/>
    </xf>
    <xf borderId="4" fillId="4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6" fillId="2" fontId="3" numFmtId="0" xfId="0" applyBorder="1" applyFont="1"/>
    <xf borderId="7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shrinkToFit="0" wrapText="1"/>
    </xf>
    <xf borderId="6" fillId="0" fontId="3" numFmtId="0" xfId="0" applyBorder="1" applyFont="1"/>
    <xf borderId="2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right" readingOrder="0"/>
    </xf>
    <xf borderId="6" fillId="0" fontId="3" numFmtId="10" xfId="0" applyAlignment="1" applyBorder="1" applyFont="1" applyNumberFormat="1">
      <alignment horizontal="right" readingOrder="0"/>
    </xf>
    <xf borderId="6" fillId="0" fontId="3" numFmtId="4" xfId="0" applyAlignment="1" applyBorder="1" applyFont="1" applyNumberFormat="1">
      <alignment horizontal="right"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пролонгаций отдела за 2023 год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'Инфографика Весь отдел'!$B$2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'Инфографика Весь отдел'!$A$3:$A$14</c:f>
            </c:strRef>
          </c:cat>
          <c:val>
            <c:numRef>
              <c:f>'Инфографика Весь отдел'!$B$3:$B$14</c:f>
              <c:numCache/>
            </c:numRef>
          </c:val>
        </c:ser>
        <c:ser>
          <c:idx val="1"/>
          <c:order val="1"/>
          <c:tx>
            <c:strRef>
              <c:f>'Инфографика Весь отдел'!$C$2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'Инфографика Весь отдел'!$A$3:$A$14</c:f>
            </c:strRef>
          </c:cat>
          <c:val>
            <c:numRef>
              <c:f>'Инфографика Весь отдел'!$C$3:$C$14</c:f>
              <c:numCache/>
            </c:numRef>
          </c:val>
        </c:ser>
        <c:axId val="1731034666"/>
        <c:axId val="1582134931"/>
      </c:barChart>
      <c:catAx>
        <c:axId val="1731034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134931"/>
      </c:catAx>
      <c:valAx>
        <c:axId val="1582134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034666"/>
      </c:valAx>
      <c:lineChart>
        <c:ser>
          <c:idx val="2"/>
          <c:order val="2"/>
          <c:tx>
            <c:strRef>
              <c:f>'Инфографика Весь отдел'!$D$2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'Инфографика Весь отдел'!$A$3:$A$14</c:f>
            </c:strRef>
          </c:cat>
          <c:val>
            <c:numRef>
              <c:f>'Инфографика Весь отдел'!$D$3:$D$14</c:f>
              <c:numCache/>
            </c:numRef>
          </c:val>
          <c:smooth val="0"/>
        </c:ser>
        <c:ser>
          <c:idx val="3"/>
          <c:order val="3"/>
          <c:tx>
            <c:strRef>
              <c:f>'Инфографика Весь отдел'!$E$2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'Инфографика Весь отдел'!$A$3:$A$14</c:f>
            </c:strRef>
          </c:cat>
          <c:val>
            <c:numRef>
              <c:f>'Инфографика Весь отдел'!$E$3:$E$14</c:f>
              <c:numCache/>
            </c:numRef>
          </c:val>
          <c:smooth val="0"/>
        </c:ser>
        <c:axId val="644834718"/>
        <c:axId val="782134811"/>
      </c:lineChart>
      <c:catAx>
        <c:axId val="6448347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134811"/>
      </c:catAx>
      <c:valAx>
        <c:axId val="78213481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83471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Годовой коэффициент пролонгации в 1-й месяц по менеджерам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'Инфографика Менеджеры за год'!$B$2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'Инфографика Менеджеры за год'!$A$3:$A$10</c:f>
            </c:strRef>
          </c:cat>
          <c:val>
            <c:numRef>
              <c:f>'Инфографика Менеджеры за год'!$B$3:$B$10</c:f>
              <c:numCache/>
            </c:numRef>
          </c:val>
        </c:ser>
        <c:axId val="493742877"/>
        <c:axId val="554855921"/>
      </c:barChart>
      <c:catAx>
        <c:axId val="4937428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855921"/>
      </c:catAx>
      <c:valAx>
        <c:axId val="554855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Коэффициент 1 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7428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0</xdr:row>
      <xdr:rowOff>19050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47625</xdr:rowOff>
    </xdr:from>
    <xdr:ext cx="65532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8.5"/>
    <col customWidth="1" min="2" max="2" width="13.88"/>
    <col customWidth="1" min="3" max="3" width="15.63"/>
    <col customWidth="1" min="5" max="5" width="14.0"/>
    <col customWidth="1" min="6" max="6" width="14.75"/>
  </cols>
  <sheetData>
    <row r="1">
      <c r="A1" s="1"/>
      <c r="B1" s="2" t="s">
        <v>0</v>
      </c>
      <c r="C1" s="3"/>
      <c r="D1" s="4"/>
      <c r="E1" s="2" t="s">
        <v>1</v>
      </c>
      <c r="F1" s="3"/>
      <c r="G1" s="4"/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3</v>
      </c>
      <c r="F2" s="6" t="s">
        <v>4</v>
      </c>
      <c r="G2" s="6" t="s">
        <v>5</v>
      </c>
    </row>
    <row r="3">
      <c r="A3" s="7" t="s">
        <v>6</v>
      </c>
      <c r="B3" s="8">
        <v>5986766.86</v>
      </c>
      <c r="C3" s="8">
        <v>2748021.61</v>
      </c>
      <c r="D3" s="9">
        <f t="shared" ref="D3:D14" si="1">C3/B3</f>
        <v>0.4590159721</v>
      </c>
      <c r="E3" s="8">
        <v>545022.0</v>
      </c>
      <c r="F3" s="8">
        <v>73380.0</v>
      </c>
      <c r="G3" s="9">
        <f t="shared" ref="G3:G14" si="2">F3/E3</f>
        <v>0.134636767</v>
      </c>
    </row>
    <row r="4">
      <c r="A4" s="7" t="s">
        <v>7</v>
      </c>
      <c r="B4" s="8">
        <v>3400075.5</v>
      </c>
      <c r="C4" s="8">
        <v>2660945.0</v>
      </c>
      <c r="D4" s="9">
        <f t="shared" si="1"/>
        <v>0.7826135037</v>
      </c>
      <c r="E4" s="8">
        <v>2819042.76</v>
      </c>
      <c r="F4" s="8">
        <v>141120.0</v>
      </c>
      <c r="G4" s="9">
        <f t="shared" si="2"/>
        <v>0.05005954574</v>
      </c>
    </row>
    <row r="5">
      <c r="A5" s="7" t="s">
        <v>8</v>
      </c>
      <c r="B5" s="8">
        <v>1716452.77</v>
      </c>
      <c r="C5" s="8">
        <v>1108904.4</v>
      </c>
      <c r="D5" s="9">
        <f t="shared" si="1"/>
        <v>0.6460442253</v>
      </c>
      <c r="E5" s="8">
        <v>760840.5</v>
      </c>
      <c r="F5" s="8">
        <v>122999.08</v>
      </c>
      <c r="G5" s="9">
        <f t="shared" si="2"/>
        <v>0.1616621092</v>
      </c>
    </row>
    <row r="6">
      <c r="A6" s="7" t="s">
        <v>9</v>
      </c>
      <c r="B6" s="8">
        <v>3762484.3</v>
      </c>
      <c r="C6" s="8">
        <v>1501923.35</v>
      </c>
      <c r="D6" s="9">
        <f t="shared" si="1"/>
        <v>0.3991839514</v>
      </c>
      <c r="E6" s="8">
        <v>627735.0</v>
      </c>
      <c r="F6" s="8">
        <v>57940.0</v>
      </c>
      <c r="G6" s="9">
        <f t="shared" si="2"/>
        <v>0.09230009479</v>
      </c>
    </row>
    <row r="7">
      <c r="A7" s="7" t="s">
        <v>10</v>
      </c>
      <c r="B7" s="8">
        <v>3414631.5</v>
      </c>
      <c r="C7" s="8">
        <v>1859461.75</v>
      </c>
      <c r="D7" s="9">
        <f t="shared" si="1"/>
        <v>0.5445570774</v>
      </c>
      <c r="E7" s="8">
        <v>2181445.9</v>
      </c>
      <c r="F7" s="8">
        <v>0.0</v>
      </c>
      <c r="G7" s="9">
        <f t="shared" si="2"/>
        <v>0</v>
      </c>
    </row>
    <row r="8">
      <c r="A8" s="7" t="s">
        <v>11</v>
      </c>
      <c r="B8" s="8">
        <v>1274625.53</v>
      </c>
      <c r="C8" s="8">
        <v>281673.28</v>
      </c>
      <c r="D8" s="9">
        <f t="shared" si="1"/>
        <v>0.2209851234</v>
      </c>
      <c r="E8" s="8">
        <v>1015068.5</v>
      </c>
      <c r="F8" s="8">
        <v>38632.5</v>
      </c>
      <c r="G8" s="9">
        <f t="shared" si="2"/>
        <v>0.03805900784</v>
      </c>
    </row>
    <row r="9">
      <c r="A9" s="7" t="s">
        <v>12</v>
      </c>
      <c r="B9" s="8">
        <v>2650982.85</v>
      </c>
      <c r="C9" s="8">
        <v>1390411.0</v>
      </c>
      <c r="D9" s="9">
        <f t="shared" si="1"/>
        <v>0.5244888702</v>
      </c>
      <c r="E9" s="8">
        <v>1020325.53</v>
      </c>
      <c r="F9" s="8">
        <v>69385.0</v>
      </c>
      <c r="G9" s="9">
        <f t="shared" si="2"/>
        <v>0.06800280691</v>
      </c>
    </row>
    <row r="10">
      <c r="A10" s="7" t="s">
        <v>13</v>
      </c>
      <c r="B10" s="8">
        <v>1936915.83</v>
      </c>
      <c r="C10" s="8">
        <v>943678.88</v>
      </c>
      <c r="D10" s="9">
        <f t="shared" si="1"/>
        <v>0.4872069635</v>
      </c>
      <c r="E10" s="8">
        <v>1477499.85</v>
      </c>
      <c r="F10" s="8">
        <v>52315.0</v>
      </c>
      <c r="G10" s="9">
        <f t="shared" si="2"/>
        <v>0.03540778701</v>
      </c>
    </row>
    <row r="11">
      <c r="A11" s="7" t="s">
        <v>14</v>
      </c>
      <c r="B11" s="8">
        <v>3113823.26</v>
      </c>
      <c r="C11" s="8">
        <v>1086504.42</v>
      </c>
      <c r="D11" s="9">
        <f t="shared" si="1"/>
        <v>0.3489293801</v>
      </c>
      <c r="E11" s="8">
        <v>755739.63</v>
      </c>
      <c r="F11" s="8">
        <v>0.0</v>
      </c>
      <c r="G11" s="9">
        <f t="shared" si="2"/>
        <v>0</v>
      </c>
    </row>
    <row r="12">
      <c r="A12" s="7" t="s">
        <v>15</v>
      </c>
      <c r="B12" s="8">
        <v>3686850.81</v>
      </c>
      <c r="C12" s="8">
        <v>3014655.19</v>
      </c>
      <c r="D12" s="9">
        <f t="shared" si="1"/>
        <v>0.8176775642</v>
      </c>
      <c r="E12" s="8">
        <v>2054989.88</v>
      </c>
      <c r="F12" s="8">
        <v>82020.0</v>
      </c>
      <c r="G12" s="9">
        <f t="shared" si="2"/>
        <v>0.03991260531</v>
      </c>
    </row>
    <row r="13">
      <c r="A13" s="7" t="s">
        <v>16</v>
      </c>
      <c r="B13" s="8">
        <v>1567139.97</v>
      </c>
      <c r="C13" s="8">
        <v>811594.0</v>
      </c>
      <c r="D13" s="9">
        <f t="shared" si="1"/>
        <v>0.5178822668</v>
      </c>
      <c r="E13" s="8">
        <v>1130392.68</v>
      </c>
      <c r="F13" s="8">
        <v>21400.0</v>
      </c>
      <c r="G13" s="9">
        <f t="shared" si="2"/>
        <v>0.01893147433</v>
      </c>
    </row>
    <row r="14">
      <c r="A14" s="7" t="s">
        <v>17</v>
      </c>
      <c r="B14" s="8">
        <v>2434794.91</v>
      </c>
      <c r="C14" s="8">
        <v>1325978.16</v>
      </c>
      <c r="D14" s="9">
        <f t="shared" si="1"/>
        <v>0.5445954214</v>
      </c>
      <c r="E14" s="8">
        <v>735957.5</v>
      </c>
      <c r="F14" s="8">
        <v>114440.0</v>
      </c>
      <c r="G14" s="9">
        <f t="shared" si="2"/>
        <v>0.1554981096</v>
      </c>
    </row>
  </sheetData>
  <mergeCells count="2">
    <mergeCell ref="B1:D1"/>
    <mergeCell ref="E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25"/>
    <col customWidth="1" min="2" max="2" width="14.38"/>
    <col customWidth="1" min="3" max="3" width="15.88"/>
    <col customWidth="1" min="5" max="5" width="14.75"/>
    <col customWidth="1" min="6" max="6" width="16.13"/>
  </cols>
  <sheetData>
    <row r="1">
      <c r="A1" s="1" t="s">
        <v>18</v>
      </c>
      <c r="B1" s="2" t="s">
        <v>0</v>
      </c>
      <c r="C1" s="3"/>
      <c r="D1" s="4"/>
      <c r="E1" s="2" t="s">
        <v>1</v>
      </c>
      <c r="F1" s="3"/>
      <c r="G1" s="4"/>
    </row>
    <row r="2">
      <c r="A2" s="10"/>
      <c r="B2" s="6" t="s">
        <v>3</v>
      </c>
      <c r="C2" s="6" t="s">
        <v>4</v>
      </c>
      <c r="D2" s="6" t="s">
        <v>5</v>
      </c>
      <c r="E2" s="6" t="s">
        <v>3</v>
      </c>
      <c r="F2" s="6" t="s">
        <v>4</v>
      </c>
      <c r="G2" s="6" t="s">
        <v>5</v>
      </c>
    </row>
    <row r="3">
      <c r="A3" s="11" t="s">
        <v>19</v>
      </c>
      <c r="B3" s="12">
        <v>1.120408489E7</v>
      </c>
      <c r="C3" s="12">
        <v>5855965.43</v>
      </c>
      <c r="D3" s="13">
        <f t="shared" ref="D3:D10" si="1">C3/B3</f>
        <v>0.5226634292</v>
      </c>
      <c r="E3" s="12">
        <v>5352587.5</v>
      </c>
      <c r="F3" s="12">
        <v>360941.58</v>
      </c>
      <c r="G3" s="13">
        <f t="shared" ref="G3:G6" si="2">F3/E3</f>
        <v>0.06743310221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1" t="s">
        <v>20</v>
      </c>
      <c r="B4" s="12">
        <v>4727657.16</v>
      </c>
      <c r="C4" s="12">
        <v>1660095.55</v>
      </c>
      <c r="D4" s="13">
        <f t="shared" si="1"/>
        <v>0.3511455027</v>
      </c>
      <c r="E4" s="12">
        <v>2503864.75</v>
      </c>
      <c r="F4" s="12">
        <v>0.0</v>
      </c>
      <c r="G4" s="13">
        <f t="shared" si="2"/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1" t="s">
        <v>21</v>
      </c>
      <c r="B5" s="12">
        <v>982724.44</v>
      </c>
      <c r="C5" s="12">
        <v>470182.98</v>
      </c>
      <c r="D5" s="13">
        <f t="shared" si="1"/>
        <v>0.4784484448</v>
      </c>
      <c r="E5" s="12">
        <v>167675.0</v>
      </c>
      <c r="F5" s="12">
        <v>0.0</v>
      </c>
      <c r="G5" s="13">
        <f t="shared" si="2"/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1" t="s">
        <v>22</v>
      </c>
      <c r="B6" s="12">
        <v>3361833.59</v>
      </c>
      <c r="C6" s="12">
        <v>2235422.29</v>
      </c>
      <c r="D6" s="13">
        <f t="shared" si="1"/>
        <v>0.6649413869</v>
      </c>
      <c r="E6" s="12">
        <v>1056004.68</v>
      </c>
      <c r="F6" s="12">
        <v>0.0</v>
      </c>
      <c r="G6" s="13">
        <f t="shared" si="2"/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1" t="s">
        <v>23</v>
      </c>
      <c r="B7" s="12">
        <v>98492.0</v>
      </c>
      <c r="C7" s="12">
        <v>109442.52</v>
      </c>
      <c r="D7" s="13">
        <f t="shared" si="1"/>
        <v>1.111181822</v>
      </c>
      <c r="E7" s="15"/>
      <c r="F7" s="15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1" t="s">
        <v>24</v>
      </c>
      <c r="B8" s="12">
        <v>4890598.08</v>
      </c>
      <c r="C8" s="12">
        <v>2502850.8</v>
      </c>
      <c r="D8" s="13">
        <f t="shared" si="1"/>
        <v>0.5117678368</v>
      </c>
      <c r="E8" s="12">
        <v>2363545.26</v>
      </c>
      <c r="F8" s="12">
        <v>39140.0</v>
      </c>
      <c r="G8" s="13">
        <f t="shared" ref="G8:G10" si="3">F8/E8</f>
        <v>0.01655986905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1" t="s">
        <v>25</v>
      </c>
      <c r="B9" s="12">
        <v>2817219.59</v>
      </c>
      <c r="C9" s="12">
        <v>1925523.5</v>
      </c>
      <c r="D9" s="13">
        <f t="shared" si="1"/>
        <v>0.68348364</v>
      </c>
      <c r="E9" s="12">
        <v>803500.8</v>
      </c>
      <c r="F9" s="12">
        <v>203825.0</v>
      </c>
      <c r="G9" s="13">
        <f t="shared" si="3"/>
        <v>0.2536711849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1" t="s">
        <v>26</v>
      </c>
      <c r="B10" s="12">
        <v>6862934.34</v>
      </c>
      <c r="C10" s="12">
        <v>3974267.97</v>
      </c>
      <c r="D10" s="13">
        <f t="shared" si="1"/>
        <v>0.5790916499</v>
      </c>
      <c r="E10" s="12">
        <v>2876881.74</v>
      </c>
      <c r="F10" s="12">
        <v>169725.0</v>
      </c>
      <c r="G10" s="13">
        <f t="shared" si="3"/>
        <v>0.05899616854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</sheetData>
  <mergeCells count="3">
    <mergeCell ref="A1:A2"/>
    <mergeCell ref="B1:D1"/>
    <mergeCell ref="E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63"/>
  </cols>
  <sheetData>
    <row r="1">
      <c r="A1" s="16" t="s">
        <v>27</v>
      </c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>
      <c r="A2" s="19" t="s">
        <v>18</v>
      </c>
      <c r="B2" s="20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/>
      <c r="B3" s="23" t="s">
        <v>6</v>
      </c>
      <c r="C3" s="23" t="s">
        <v>7</v>
      </c>
      <c r="D3" s="23" t="s">
        <v>8</v>
      </c>
      <c r="E3" s="23" t="s">
        <v>9</v>
      </c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4" t="s">
        <v>19</v>
      </c>
      <c r="B4" s="9">
        <v>0.5982</v>
      </c>
      <c r="C4" s="9">
        <v>1.0566</v>
      </c>
      <c r="D4" s="9">
        <v>0.6272</v>
      </c>
      <c r="E4" s="9">
        <v>0.4664</v>
      </c>
      <c r="F4" s="9">
        <v>0.3897</v>
      </c>
      <c r="G4" s="9">
        <v>0.3893</v>
      </c>
      <c r="H4" s="9">
        <v>0.585</v>
      </c>
      <c r="I4" s="9">
        <v>0.4775</v>
      </c>
      <c r="J4" s="9">
        <v>0.1724</v>
      </c>
      <c r="K4" s="9">
        <v>0.8868</v>
      </c>
      <c r="L4" s="9">
        <v>0.621</v>
      </c>
      <c r="M4" s="9">
        <v>0.3241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4" t="s">
        <v>20</v>
      </c>
      <c r="B5" s="9">
        <v>0.2701</v>
      </c>
      <c r="C5" s="25"/>
      <c r="D5" s="9">
        <v>0.4461</v>
      </c>
      <c r="E5" s="9">
        <v>0.2777</v>
      </c>
      <c r="F5" s="9">
        <v>1.0</v>
      </c>
      <c r="G5" s="9">
        <v>0.0</v>
      </c>
      <c r="H5" s="9">
        <v>0.4726</v>
      </c>
      <c r="I5" s="9">
        <v>0.5407</v>
      </c>
      <c r="J5" s="9">
        <v>0.9985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4" t="s">
        <v>21</v>
      </c>
      <c r="B6" s="9">
        <v>1.266</v>
      </c>
      <c r="C6" s="9">
        <v>0.847</v>
      </c>
      <c r="D6" s="25"/>
      <c r="E6" s="9">
        <v>0.0</v>
      </c>
      <c r="F6" s="25"/>
      <c r="G6" s="25"/>
      <c r="H6" s="25"/>
      <c r="I6" s="25"/>
      <c r="J6" s="25"/>
      <c r="K6" s="9">
        <v>1.3085</v>
      </c>
      <c r="L6" s="9">
        <v>0.4736</v>
      </c>
      <c r="M6" s="9">
        <v>0.274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4" t="s">
        <v>22</v>
      </c>
      <c r="B7" s="9">
        <v>0.6879</v>
      </c>
      <c r="C7" s="9">
        <v>0.9036</v>
      </c>
      <c r="D7" s="9">
        <v>2.4306</v>
      </c>
      <c r="E7" s="9">
        <v>1.0988</v>
      </c>
      <c r="F7" s="9">
        <v>1.1896</v>
      </c>
      <c r="G7" s="9">
        <v>0.0</v>
      </c>
      <c r="H7" s="9">
        <v>1.1975</v>
      </c>
      <c r="I7" s="25"/>
      <c r="J7" s="9">
        <v>0.0</v>
      </c>
      <c r="K7" s="9">
        <v>0.4491</v>
      </c>
      <c r="L7" s="25"/>
      <c r="M7" s="9">
        <v>0.0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4" t="s">
        <v>23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9">
        <v>1.1112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4" t="s">
        <v>24</v>
      </c>
      <c r="B9" s="9">
        <v>0.4407</v>
      </c>
      <c r="C9" s="9">
        <v>0.8009</v>
      </c>
      <c r="D9" s="9">
        <v>0.4963</v>
      </c>
      <c r="E9" s="9">
        <v>0.0954</v>
      </c>
      <c r="F9" s="9">
        <v>0.7569</v>
      </c>
      <c r="G9" s="9">
        <v>0.0</v>
      </c>
      <c r="H9" s="9">
        <v>0.0891</v>
      </c>
      <c r="I9" s="9">
        <v>0.4799</v>
      </c>
      <c r="J9" s="9">
        <v>0.747</v>
      </c>
      <c r="K9" s="9">
        <v>0.7936</v>
      </c>
      <c r="L9" s="25"/>
      <c r="M9" s="9">
        <v>0.6001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4" t="s">
        <v>25</v>
      </c>
      <c r="B10" s="9">
        <v>0.7434</v>
      </c>
      <c r="C10" s="9">
        <v>0.0</v>
      </c>
      <c r="D10" s="25"/>
      <c r="E10" s="9">
        <v>0.9661</v>
      </c>
      <c r="F10" s="25"/>
      <c r="G10" s="9">
        <v>0.0</v>
      </c>
      <c r="H10" s="9">
        <v>0.0</v>
      </c>
      <c r="I10" s="9">
        <v>0.3725</v>
      </c>
      <c r="J10" s="9">
        <v>0.7655</v>
      </c>
      <c r="K10" s="9">
        <v>1.0384</v>
      </c>
      <c r="L10" s="9">
        <v>0.8362</v>
      </c>
      <c r="M10" s="9">
        <v>0.3611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4" t="s">
        <v>26</v>
      </c>
      <c r="B11" s="9">
        <v>0.4273</v>
      </c>
      <c r="C11" s="9">
        <v>0.2347</v>
      </c>
      <c r="D11" s="9">
        <v>0.9392</v>
      </c>
      <c r="E11" s="9">
        <v>1.0658</v>
      </c>
      <c r="F11" s="9">
        <v>0.2374</v>
      </c>
      <c r="G11" s="9">
        <v>0.7664</v>
      </c>
      <c r="H11" s="9">
        <v>0.6191</v>
      </c>
      <c r="I11" s="9">
        <v>0.5413</v>
      </c>
      <c r="J11" s="9">
        <v>0.2602</v>
      </c>
      <c r="K11" s="9">
        <v>0.8418</v>
      </c>
      <c r="L11" s="9">
        <v>0.1786</v>
      </c>
      <c r="M11" s="9">
        <v>0.7911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6" t="s">
        <v>28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>
      <c r="A13" s="19" t="s">
        <v>18</v>
      </c>
      <c r="B13" s="20" t="s">
        <v>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"/>
      <c r="B14" s="23" t="s">
        <v>6</v>
      </c>
      <c r="C14" s="23" t="s">
        <v>7</v>
      </c>
      <c r="D14" s="23" t="s">
        <v>8</v>
      </c>
      <c r="E14" s="23" t="s">
        <v>9</v>
      </c>
      <c r="F14" s="23" t="s">
        <v>10</v>
      </c>
      <c r="G14" s="23" t="s">
        <v>11</v>
      </c>
      <c r="H14" s="23" t="s">
        <v>12</v>
      </c>
      <c r="I14" s="23" t="s">
        <v>13</v>
      </c>
      <c r="J14" s="23" t="s">
        <v>14</v>
      </c>
      <c r="K14" s="23" t="s">
        <v>15</v>
      </c>
      <c r="L14" s="23" t="s">
        <v>16</v>
      </c>
      <c r="M14" s="23" t="s">
        <v>17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4" t="s">
        <v>19</v>
      </c>
      <c r="B15" s="9">
        <v>0.0</v>
      </c>
      <c r="C15" s="9">
        <v>0.0546</v>
      </c>
      <c r="D15" s="9">
        <v>0.7078</v>
      </c>
      <c r="E15" s="9">
        <v>0.1102</v>
      </c>
      <c r="F15" s="9">
        <v>0.0</v>
      </c>
      <c r="G15" s="9">
        <v>0.057</v>
      </c>
      <c r="H15" s="9">
        <v>0.0</v>
      </c>
      <c r="I15" s="9">
        <v>0.0</v>
      </c>
      <c r="J15" s="9">
        <v>0.0</v>
      </c>
      <c r="K15" s="9">
        <v>0.0723</v>
      </c>
      <c r="L15" s="9">
        <v>0.0</v>
      </c>
      <c r="M15" s="9">
        <v>0.4849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4" t="s">
        <v>20</v>
      </c>
      <c r="B16" s="9">
        <v>0.0</v>
      </c>
      <c r="C16" s="9">
        <v>0.0</v>
      </c>
      <c r="D16" s="25"/>
      <c r="E16" s="9">
        <v>0.0</v>
      </c>
      <c r="F16" s="9">
        <v>0.0</v>
      </c>
      <c r="G16" s="25"/>
      <c r="H16" s="9">
        <v>0.0</v>
      </c>
      <c r="I16" s="9">
        <v>0.0</v>
      </c>
      <c r="J16" s="9">
        <v>0.0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4" t="s">
        <v>21</v>
      </c>
      <c r="B17" s="25"/>
      <c r="C17" s="25"/>
      <c r="D17" s="25"/>
      <c r="E17" s="25"/>
      <c r="F17" s="9">
        <v>0.0</v>
      </c>
      <c r="G17" s="25"/>
      <c r="H17" s="25"/>
      <c r="I17" s="25"/>
      <c r="J17" s="25"/>
      <c r="K17" s="25"/>
      <c r="L17" s="25"/>
      <c r="M17" s="9">
        <v>0.0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4" t="s">
        <v>22</v>
      </c>
      <c r="B18" s="9">
        <v>0.0</v>
      </c>
      <c r="C18" s="9">
        <v>0.0</v>
      </c>
      <c r="D18" s="25"/>
      <c r="E18" s="25"/>
      <c r="F18" s="25"/>
      <c r="G18" s="25"/>
      <c r="H18" s="9">
        <v>0.0</v>
      </c>
      <c r="I18" s="25"/>
      <c r="J18" s="25"/>
      <c r="K18" s="9">
        <v>0.0</v>
      </c>
      <c r="L18" s="9">
        <v>0.0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4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9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4" t="s">
        <v>24</v>
      </c>
      <c r="B20" s="9">
        <v>0.0</v>
      </c>
      <c r="C20" s="9">
        <v>0.0</v>
      </c>
      <c r="D20" s="9">
        <v>0.0</v>
      </c>
      <c r="E20" s="9">
        <v>0.1909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0.1898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4" t="s">
        <v>25</v>
      </c>
      <c r="B21" s="25"/>
      <c r="C21" s="9">
        <v>0.0</v>
      </c>
      <c r="D21" s="9">
        <v>1.1505</v>
      </c>
      <c r="E21" s="25"/>
      <c r="F21" s="25"/>
      <c r="G21" s="25"/>
      <c r="H21" s="9">
        <v>0.5163</v>
      </c>
      <c r="I21" s="9">
        <v>1.5531</v>
      </c>
      <c r="J21" s="9">
        <v>0.0</v>
      </c>
      <c r="K21" s="9">
        <v>0.0</v>
      </c>
      <c r="L21" s="9">
        <v>0.0</v>
      </c>
      <c r="M21" s="9">
        <v>0.3984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4" t="s">
        <v>26</v>
      </c>
      <c r="B22" s="9">
        <v>0.6788</v>
      </c>
      <c r="C22" s="9">
        <v>0.2157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</sheetData>
  <mergeCells count="4">
    <mergeCell ref="A2:A3"/>
    <mergeCell ref="B2:M2"/>
    <mergeCell ref="A13:A14"/>
    <mergeCell ref="B13:M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29</v>
      </c>
      <c r="B1" s="3"/>
      <c r="C1" s="3"/>
      <c r="D1" s="3"/>
      <c r="E1" s="4"/>
    </row>
    <row r="2">
      <c r="A2" s="27" t="s">
        <v>2</v>
      </c>
      <c r="B2" s="27" t="s">
        <v>30</v>
      </c>
      <c r="C2" s="27" t="s">
        <v>31</v>
      </c>
      <c r="D2" s="27" t="s">
        <v>32</v>
      </c>
      <c r="E2" s="27" t="s">
        <v>33</v>
      </c>
    </row>
    <row r="3">
      <c r="A3" s="7" t="s">
        <v>6</v>
      </c>
      <c r="B3" s="8">
        <v>5986766.86</v>
      </c>
      <c r="C3" s="8">
        <v>545022.0</v>
      </c>
      <c r="D3" s="9">
        <v>0.4590159721035136</v>
      </c>
      <c r="E3" s="9">
        <v>0.13463676695619625</v>
      </c>
    </row>
    <row r="4">
      <c r="A4" s="7" t="s">
        <v>7</v>
      </c>
      <c r="B4" s="8">
        <v>3400075.5</v>
      </c>
      <c r="C4" s="8">
        <v>2819042.76</v>
      </c>
      <c r="D4" s="9">
        <v>0.7826135037295495</v>
      </c>
      <c r="E4" s="9">
        <v>0.05005954574452784</v>
      </c>
    </row>
    <row r="5">
      <c r="A5" s="7" t="s">
        <v>8</v>
      </c>
      <c r="B5" s="8">
        <v>1716452.77</v>
      </c>
      <c r="C5" s="8">
        <v>760840.5</v>
      </c>
      <c r="D5" s="9">
        <v>0.6460442252658078</v>
      </c>
      <c r="E5" s="9">
        <v>0.16166210920685742</v>
      </c>
    </row>
    <row r="6">
      <c r="A6" s="7" t="s">
        <v>9</v>
      </c>
      <c r="B6" s="8">
        <v>3762484.3</v>
      </c>
      <c r="C6" s="8">
        <v>627735.0</v>
      </c>
      <c r="D6" s="9">
        <v>0.39918395141210294</v>
      </c>
      <c r="E6" s="9">
        <v>0.09230009478521987</v>
      </c>
    </row>
    <row r="7">
      <c r="A7" s="7" t="s">
        <v>10</v>
      </c>
      <c r="B7" s="8">
        <v>3414631.5</v>
      </c>
      <c r="C7" s="8">
        <v>2181445.9</v>
      </c>
      <c r="D7" s="9">
        <v>0.5445570773888778</v>
      </c>
      <c r="E7" s="9">
        <v>0.0</v>
      </c>
    </row>
    <row r="8">
      <c r="A8" s="7" t="s">
        <v>11</v>
      </c>
      <c r="B8" s="8">
        <v>1274625.53</v>
      </c>
      <c r="C8" s="8">
        <v>1015068.5</v>
      </c>
      <c r="D8" s="9">
        <v>0.22098512337188164</v>
      </c>
      <c r="E8" s="9">
        <v>0.038059007840357574</v>
      </c>
    </row>
    <row r="9">
      <c r="A9" s="7" t="s">
        <v>12</v>
      </c>
      <c r="B9" s="8">
        <v>2650982.85</v>
      </c>
      <c r="C9" s="8">
        <v>1020325.53</v>
      </c>
      <c r="D9" s="9">
        <v>0.5244888702316577</v>
      </c>
      <c r="E9" s="9">
        <v>0.0680028069081051</v>
      </c>
    </row>
    <row r="10">
      <c r="A10" s="7" t="s">
        <v>13</v>
      </c>
      <c r="B10" s="8">
        <v>1936915.83</v>
      </c>
      <c r="C10" s="8">
        <v>1477499.85</v>
      </c>
      <c r="D10" s="9">
        <v>0.48720696345385334</v>
      </c>
      <c r="E10" s="9">
        <v>0.03540778701263489</v>
      </c>
    </row>
    <row r="11">
      <c r="A11" s="7" t="s">
        <v>14</v>
      </c>
      <c r="B11" s="8">
        <v>3113823.26</v>
      </c>
      <c r="C11" s="8">
        <v>755739.63</v>
      </c>
      <c r="D11" s="9">
        <v>0.3489293801472856</v>
      </c>
      <c r="E11" s="9">
        <v>0.0</v>
      </c>
    </row>
    <row r="12">
      <c r="A12" s="7" t="s">
        <v>15</v>
      </c>
      <c r="B12" s="8">
        <v>3686850.81</v>
      </c>
      <c r="C12" s="8">
        <v>2054989.88</v>
      </c>
      <c r="D12" s="9">
        <v>0.8176775642299451</v>
      </c>
      <c r="E12" s="9">
        <v>0.039912605311710835</v>
      </c>
    </row>
    <row r="13">
      <c r="A13" s="7" t="s">
        <v>16</v>
      </c>
      <c r="B13" s="8">
        <v>1567139.97</v>
      </c>
      <c r="C13" s="8">
        <v>1130392.68</v>
      </c>
      <c r="D13" s="9">
        <v>0.5178822667639573</v>
      </c>
      <c r="E13" s="9">
        <v>0.018931474326249177</v>
      </c>
    </row>
    <row r="14">
      <c r="A14" s="7" t="s">
        <v>17</v>
      </c>
      <c r="B14" s="8">
        <v>2434794.91</v>
      </c>
      <c r="C14" s="8">
        <v>735957.5</v>
      </c>
      <c r="D14" s="9">
        <v>0.5445954213860255</v>
      </c>
      <c r="E14" s="9">
        <v>0.1554981096055139</v>
      </c>
    </row>
    <row r="19">
      <c r="A19" s="28" t="s">
        <v>34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>
      <c r="A20" s="30" t="s">
        <v>35</v>
      </c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>
      <c r="A22" s="30" t="s">
        <v>36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>
      <c r="A23" s="30" t="s">
        <v>37</v>
      </c>
    </row>
  </sheetData>
  <mergeCells count="3">
    <mergeCell ref="A1:E1"/>
    <mergeCell ref="A20:K20"/>
    <mergeCell ref="A23:K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9.63"/>
    <col customWidth="1" min="3" max="3" width="11.75"/>
  </cols>
  <sheetData>
    <row r="1">
      <c r="A1" s="31" t="s">
        <v>38</v>
      </c>
    </row>
    <row r="2">
      <c r="A2" s="32" t="s">
        <v>18</v>
      </c>
      <c r="B2" s="33" t="s">
        <v>39</v>
      </c>
      <c r="C2" s="33" t="s">
        <v>30</v>
      </c>
    </row>
    <row r="3">
      <c r="A3" s="7" t="s">
        <v>23</v>
      </c>
      <c r="B3" s="34">
        <v>1.1112</v>
      </c>
      <c r="C3" s="35">
        <v>98492.0</v>
      </c>
    </row>
    <row r="4">
      <c r="A4" s="7" t="s">
        <v>25</v>
      </c>
      <c r="B4" s="34">
        <v>0.6835</v>
      </c>
      <c r="C4" s="35">
        <v>2817219.59</v>
      </c>
    </row>
    <row r="5">
      <c r="A5" s="7" t="s">
        <v>22</v>
      </c>
      <c r="B5" s="34">
        <v>0.6649</v>
      </c>
      <c r="C5" s="35">
        <v>3361833.59</v>
      </c>
    </row>
    <row r="6">
      <c r="A6" s="7" t="s">
        <v>26</v>
      </c>
      <c r="B6" s="34">
        <v>0.5791</v>
      </c>
      <c r="C6" s="35">
        <v>6862934.34</v>
      </c>
    </row>
    <row r="7">
      <c r="A7" s="7" t="s">
        <v>19</v>
      </c>
      <c r="B7" s="34">
        <v>0.5227</v>
      </c>
      <c r="C7" s="35">
        <v>1.120408489E7</v>
      </c>
    </row>
    <row r="8">
      <c r="A8" s="7" t="s">
        <v>24</v>
      </c>
      <c r="B8" s="34">
        <v>0.5118</v>
      </c>
      <c r="C8" s="35">
        <v>4890598.08</v>
      </c>
    </row>
    <row r="9">
      <c r="A9" s="7" t="s">
        <v>21</v>
      </c>
      <c r="B9" s="34">
        <v>0.4784</v>
      </c>
      <c r="C9" s="35">
        <v>982724.44</v>
      </c>
    </row>
    <row r="10">
      <c r="A10" s="7" t="s">
        <v>20</v>
      </c>
      <c r="B10" s="34">
        <v>0.3511</v>
      </c>
      <c r="C10" s="35">
        <v>4727657.16</v>
      </c>
    </row>
    <row r="21">
      <c r="A21" s="28" t="s">
        <v>40</v>
      </c>
      <c r="B21" s="29"/>
      <c r="C21" s="29"/>
      <c r="D21" s="29"/>
      <c r="E21" s="29"/>
      <c r="F21" s="29"/>
      <c r="G21" s="29"/>
      <c r="H21" s="29"/>
      <c r="I21" s="29"/>
      <c r="J21" s="29"/>
    </row>
    <row r="22">
      <c r="A22" s="28" t="s">
        <v>41</v>
      </c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</row>
    <row r="24">
      <c r="A24" s="28" t="s">
        <v>42</v>
      </c>
      <c r="B24" s="29"/>
      <c r="C24" s="29"/>
      <c r="D24" s="29"/>
      <c r="E24" s="29"/>
      <c r="F24" s="29"/>
      <c r="G24" s="29"/>
      <c r="H24" s="29"/>
      <c r="I24" s="29"/>
      <c r="J24" s="29"/>
    </row>
    <row r="25">
      <c r="A25" s="30" t="s">
        <v>43</v>
      </c>
    </row>
  </sheetData>
  <mergeCells count="3">
    <mergeCell ref="A1:C1"/>
    <mergeCell ref="A22:J22"/>
    <mergeCell ref="A25:J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63"/>
  </cols>
  <sheetData>
    <row r="1">
      <c r="A1" s="16" t="s">
        <v>27</v>
      </c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>
      <c r="A2" s="19" t="s">
        <v>18</v>
      </c>
      <c r="B2" s="20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A3" s="22"/>
      <c r="B3" s="23" t="s">
        <v>6</v>
      </c>
      <c r="C3" s="23" t="s">
        <v>7</v>
      </c>
      <c r="D3" s="23" t="s">
        <v>8</v>
      </c>
      <c r="E3" s="23" t="s">
        <v>9</v>
      </c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</row>
    <row r="4">
      <c r="A4" s="24" t="s">
        <v>19</v>
      </c>
      <c r="B4" s="9">
        <v>0.5982</v>
      </c>
      <c r="C4" s="9">
        <v>1.0566</v>
      </c>
      <c r="D4" s="9">
        <v>0.6272</v>
      </c>
      <c r="E4" s="9">
        <v>0.4664</v>
      </c>
      <c r="F4" s="9">
        <v>0.3897</v>
      </c>
      <c r="G4" s="9">
        <v>0.3893</v>
      </c>
      <c r="H4" s="9">
        <v>0.585</v>
      </c>
      <c r="I4" s="9">
        <v>0.4775</v>
      </c>
      <c r="J4" s="9">
        <v>0.1724</v>
      </c>
      <c r="K4" s="9">
        <v>0.8868</v>
      </c>
      <c r="L4" s="9">
        <v>0.621</v>
      </c>
      <c r="M4" s="9">
        <v>0.3241</v>
      </c>
    </row>
    <row r="5">
      <c r="A5" s="24" t="s">
        <v>20</v>
      </c>
      <c r="B5" s="9">
        <v>0.2701</v>
      </c>
      <c r="C5" s="25"/>
      <c r="D5" s="9">
        <v>0.4461</v>
      </c>
      <c r="E5" s="9">
        <v>0.2777</v>
      </c>
      <c r="F5" s="9">
        <v>1.0</v>
      </c>
      <c r="G5" s="9">
        <v>0.0</v>
      </c>
      <c r="H5" s="9">
        <v>0.4726</v>
      </c>
      <c r="I5" s="9">
        <v>0.5407</v>
      </c>
      <c r="J5" s="9">
        <v>0.9985</v>
      </c>
      <c r="K5" s="25"/>
      <c r="L5" s="25"/>
      <c r="M5" s="25"/>
    </row>
    <row r="6">
      <c r="A6" s="24" t="s">
        <v>21</v>
      </c>
      <c r="B6" s="9">
        <v>1.266</v>
      </c>
      <c r="C6" s="9">
        <v>0.847</v>
      </c>
      <c r="D6" s="25"/>
      <c r="E6" s="9">
        <v>0.0</v>
      </c>
      <c r="F6" s="25"/>
      <c r="G6" s="25"/>
      <c r="H6" s="25"/>
      <c r="I6" s="25"/>
      <c r="J6" s="25"/>
      <c r="K6" s="9">
        <v>1.3085</v>
      </c>
      <c r="L6" s="9">
        <v>0.4736</v>
      </c>
      <c r="M6" s="9">
        <v>0.274</v>
      </c>
    </row>
    <row r="7">
      <c r="A7" s="24" t="s">
        <v>22</v>
      </c>
      <c r="B7" s="9">
        <v>0.6879</v>
      </c>
      <c r="C7" s="9">
        <v>0.9036</v>
      </c>
      <c r="D7" s="9">
        <v>2.4306</v>
      </c>
      <c r="E7" s="9">
        <v>1.0988</v>
      </c>
      <c r="F7" s="9">
        <v>1.1896</v>
      </c>
      <c r="G7" s="9">
        <v>0.0</v>
      </c>
      <c r="H7" s="9">
        <v>1.1975</v>
      </c>
      <c r="I7" s="25"/>
      <c r="J7" s="9">
        <v>0.0</v>
      </c>
      <c r="K7" s="9">
        <v>0.4491</v>
      </c>
      <c r="L7" s="25"/>
      <c r="M7" s="9">
        <v>0.0</v>
      </c>
    </row>
    <row r="8">
      <c r="A8" s="24" t="s">
        <v>23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9">
        <v>1.1112</v>
      </c>
    </row>
    <row r="9">
      <c r="A9" s="24" t="s">
        <v>24</v>
      </c>
      <c r="B9" s="9">
        <v>0.4407</v>
      </c>
      <c r="C9" s="9">
        <v>0.8009</v>
      </c>
      <c r="D9" s="9">
        <v>0.4963</v>
      </c>
      <c r="E9" s="9">
        <v>0.0954</v>
      </c>
      <c r="F9" s="9">
        <v>0.7569</v>
      </c>
      <c r="G9" s="9">
        <v>0.0</v>
      </c>
      <c r="H9" s="9">
        <v>0.0891</v>
      </c>
      <c r="I9" s="9">
        <v>0.4799</v>
      </c>
      <c r="J9" s="9">
        <v>0.747</v>
      </c>
      <c r="K9" s="9">
        <v>0.7936</v>
      </c>
      <c r="L9" s="25"/>
      <c r="M9" s="9">
        <v>0.6001</v>
      </c>
    </row>
    <row r="10">
      <c r="A10" s="24" t="s">
        <v>25</v>
      </c>
      <c r="B10" s="9">
        <v>0.7434</v>
      </c>
      <c r="C10" s="9">
        <v>0.0</v>
      </c>
      <c r="D10" s="25"/>
      <c r="E10" s="9">
        <v>0.9661</v>
      </c>
      <c r="F10" s="25"/>
      <c r="G10" s="9">
        <v>0.0</v>
      </c>
      <c r="H10" s="9">
        <v>0.0</v>
      </c>
      <c r="I10" s="9">
        <v>0.3725</v>
      </c>
      <c r="J10" s="9">
        <v>0.7655</v>
      </c>
      <c r="K10" s="9">
        <v>1.0384</v>
      </c>
      <c r="L10" s="9">
        <v>0.8362</v>
      </c>
      <c r="M10" s="9">
        <v>0.3611</v>
      </c>
    </row>
    <row r="11">
      <c r="A11" s="24" t="s">
        <v>26</v>
      </c>
      <c r="B11" s="9">
        <v>0.4273</v>
      </c>
      <c r="C11" s="9">
        <v>0.2347</v>
      </c>
      <c r="D11" s="9">
        <v>0.9392</v>
      </c>
      <c r="E11" s="9">
        <v>1.0658</v>
      </c>
      <c r="F11" s="9">
        <v>0.2374</v>
      </c>
      <c r="G11" s="9">
        <v>0.7664</v>
      </c>
      <c r="H11" s="9">
        <v>0.6191</v>
      </c>
      <c r="I11" s="9">
        <v>0.5413</v>
      </c>
      <c r="J11" s="9">
        <v>0.2602</v>
      </c>
      <c r="K11" s="9">
        <v>0.8418</v>
      </c>
      <c r="L11" s="9">
        <v>0.1786</v>
      </c>
      <c r="M11" s="9">
        <v>0.7911</v>
      </c>
    </row>
    <row r="12">
      <c r="A12" s="16" t="s">
        <v>28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>
      <c r="A13" s="19" t="s">
        <v>18</v>
      </c>
      <c r="B13" s="20" t="s">
        <v>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</row>
    <row r="14">
      <c r="A14" s="10"/>
      <c r="B14" s="23" t="s">
        <v>6</v>
      </c>
      <c r="C14" s="23" t="s">
        <v>7</v>
      </c>
      <c r="D14" s="23" t="s">
        <v>8</v>
      </c>
      <c r="E14" s="23" t="s">
        <v>9</v>
      </c>
      <c r="F14" s="23" t="s">
        <v>10</v>
      </c>
      <c r="G14" s="23" t="s">
        <v>11</v>
      </c>
      <c r="H14" s="23" t="s">
        <v>12</v>
      </c>
      <c r="I14" s="23" t="s">
        <v>13</v>
      </c>
      <c r="J14" s="23" t="s">
        <v>14</v>
      </c>
      <c r="K14" s="23" t="s">
        <v>15</v>
      </c>
      <c r="L14" s="23" t="s">
        <v>16</v>
      </c>
      <c r="M14" s="23" t="s">
        <v>17</v>
      </c>
    </row>
    <row r="15">
      <c r="A15" s="24" t="s">
        <v>19</v>
      </c>
      <c r="B15" s="9">
        <v>0.0</v>
      </c>
      <c r="C15" s="9">
        <v>0.0546</v>
      </c>
      <c r="D15" s="9">
        <v>0.7078</v>
      </c>
      <c r="E15" s="9">
        <v>0.1102</v>
      </c>
      <c r="F15" s="9">
        <v>0.0</v>
      </c>
      <c r="G15" s="9">
        <v>0.057</v>
      </c>
      <c r="H15" s="9">
        <v>0.0</v>
      </c>
      <c r="I15" s="9">
        <v>0.0</v>
      </c>
      <c r="J15" s="9">
        <v>0.0</v>
      </c>
      <c r="K15" s="9">
        <v>0.0723</v>
      </c>
      <c r="L15" s="9">
        <v>0.0</v>
      </c>
      <c r="M15" s="9">
        <v>0.4849</v>
      </c>
    </row>
    <row r="16">
      <c r="A16" s="24" t="s">
        <v>20</v>
      </c>
      <c r="B16" s="9">
        <v>0.0</v>
      </c>
      <c r="C16" s="9">
        <v>0.0</v>
      </c>
      <c r="D16" s="25"/>
      <c r="E16" s="9">
        <v>0.0</v>
      </c>
      <c r="F16" s="9">
        <v>0.0</v>
      </c>
      <c r="G16" s="25"/>
      <c r="H16" s="9">
        <v>0.0</v>
      </c>
      <c r="I16" s="9">
        <v>0.0</v>
      </c>
      <c r="J16" s="9">
        <v>0.0</v>
      </c>
      <c r="K16" s="25"/>
      <c r="L16" s="25"/>
      <c r="M16" s="25"/>
    </row>
    <row r="17">
      <c r="A17" s="24" t="s">
        <v>21</v>
      </c>
      <c r="B17" s="25"/>
      <c r="C17" s="25"/>
      <c r="D17" s="25"/>
      <c r="E17" s="25"/>
      <c r="F17" s="9">
        <v>0.0</v>
      </c>
      <c r="G17" s="25"/>
      <c r="H17" s="25"/>
      <c r="I17" s="25"/>
      <c r="J17" s="25"/>
      <c r="K17" s="25"/>
      <c r="L17" s="25"/>
      <c r="M17" s="9">
        <v>0.0</v>
      </c>
    </row>
    <row r="18">
      <c r="A18" s="24" t="s">
        <v>22</v>
      </c>
      <c r="B18" s="9">
        <v>0.0</v>
      </c>
      <c r="C18" s="9">
        <v>0.0</v>
      </c>
      <c r="D18" s="25"/>
      <c r="E18" s="25"/>
      <c r="F18" s="25"/>
      <c r="G18" s="25"/>
      <c r="H18" s="9">
        <v>0.0</v>
      </c>
      <c r="I18" s="25"/>
      <c r="J18" s="25"/>
      <c r="K18" s="9">
        <v>0.0</v>
      </c>
      <c r="L18" s="9">
        <v>0.0</v>
      </c>
      <c r="M18" s="25"/>
    </row>
    <row r="19">
      <c r="A19" s="24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9"/>
    </row>
    <row r="20">
      <c r="A20" s="24" t="s">
        <v>24</v>
      </c>
      <c r="B20" s="9">
        <v>0.0</v>
      </c>
      <c r="C20" s="9">
        <v>0.0</v>
      </c>
      <c r="D20" s="9">
        <v>0.0</v>
      </c>
      <c r="E20" s="9">
        <v>0.1909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0.1898</v>
      </c>
      <c r="M20" s="25"/>
    </row>
    <row r="21">
      <c r="A21" s="24" t="s">
        <v>25</v>
      </c>
      <c r="B21" s="25"/>
      <c r="C21" s="9">
        <v>0.0</v>
      </c>
      <c r="D21" s="9">
        <v>1.1505</v>
      </c>
      <c r="E21" s="25"/>
      <c r="F21" s="25"/>
      <c r="G21" s="25"/>
      <c r="H21" s="9">
        <v>0.5163</v>
      </c>
      <c r="I21" s="9">
        <v>1.5531</v>
      </c>
      <c r="J21" s="9">
        <v>0.0</v>
      </c>
      <c r="K21" s="9">
        <v>0.0</v>
      </c>
      <c r="L21" s="9">
        <v>0.0</v>
      </c>
      <c r="M21" s="9">
        <v>0.3984</v>
      </c>
    </row>
    <row r="22">
      <c r="A22" s="24" t="s">
        <v>26</v>
      </c>
      <c r="B22" s="9">
        <v>0.6788</v>
      </c>
      <c r="C22" s="9">
        <v>0.2157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</row>
    <row r="24">
      <c r="B24" s="28" t="s">
        <v>44</v>
      </c>
      <c r="C24" s="28"/>
      <c r="D24" s="28"/>
      <c r="E24" s="28"/>
      <c r="F24" s="28"/>
    </row>
    <row r="25">
      <c r="B25" s="30" t="s">
        <v>45</v>
      </c>
    </row>
    <row r="26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mergeCells count="5">
    <mergeCell ref="A2:A3"/>
    <mergeCell ref="B2:M2"/>
    <mergeCell ref="A13:A14"/>
    <mergeCell ref="B13:M13"/>
    <mergeCell ref="B25:K25"/>
  </mergeCells>
  <conditionalFormatting sqref="B4:B1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:C1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4:D1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4:E1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4:F11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4:G11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4:H11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4:I1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:J11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:K11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4:L11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4:M11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5:M22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5:L22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5:K22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5:I22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5:H22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5:G22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5:E22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15:D22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5:C22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5:B22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13"/>
  </cols>
  <sheetData>
    <row r="1">
      <c r="A1" s="30" t="s">
        <v>46</v>
      </c>
    </row>
    <row r="2">
      <c r="A2" s="36" t="s">
        <v>47</v>
      </c>
    </row>
    <row r="3">
      <c r="A3" s="36" t="s">
        <v>48</v>
      </c>
    </row>
    <row r="4">
      <c r="A4" s="36" t="s">
        <v>49</v>
      </c>
    </row>
    <row r="5">
      <c r="A5" s="36" t="s">
        <v>50</v>
      </c>
    </row>
    <row r="6">
      <c r="A6" s="36" t="s">
        <v>51</v>
      </c>
    </row>
    <row r="7">
      <c r="A7" s="36" t="s">
        <v>52</v>
      </c>
    </row>
  </sheetData>
  <drawing r:id="rId1"/>
</worksheet>
</file>
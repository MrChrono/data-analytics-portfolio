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chr\Desktop\DM 365\"/>
    </mc:Choice>
  </mc:AlternateContent>
  <xr:revisionPtr revIDLastSave="0" documentId="13_ncr:1_{B2B4C245-57A8-4F64-91A6-EE68AD787DED}" xr6:coauthVersionLast="47" xr6:coauthVersionMax="47" xr10:uidLastSave="{00000000-0000-0000-0000-000000000000}"/>
  <bookViews>
    <workbookView xWindow="22932" yWindow="-108" windowWidth="30936" windowHeight="16776" xr2:uid="{D4A91475-79F7-456C-B0EE-1019BB3F4E8A}"/>
  </bookViews>
  <sheets>
    <sheet name="Зада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1" l="1"/>
  <c r="S17" i="1"/>
  <c r="S18" i="1"/>
  <c r="S19" i="1"/>
  <c r="S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15" i="1"/>
  <c r="L80" i="1" a="1"/>
  <c r="L80" i="1" s="1"/>
  <c r="P15" i="1" a="1"/>
  <c r="P15" i="1" s="1"/>
  <c r="L81" i="1" a="1"/>
  <c r="L81" i="1" s="1"/>
  <c r="L82" i="1" a="1"/>
  <c r="L82" i="1" s="1"/>
  <c r="L83" i="1" a="1"/>
  <c r="L83" i="1" s="1"/>
  <c r="L84" i="1" a="1"/>
  <c r="L84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15" i="1" a="1"/>
  <c r="L15" i="1" s="1"/>
  <c r="E4" i="1"/>
  <c r="E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<sst xmlns="http://schemas.openxmlformats.org/spreadsheetml/2006/main" count="457" uniqueCount="91">
  <si>
    <t>file</t>
  </si>
  <si>
    <t>type</t>
  </si>
  <si>
    <t>size, Mb</t>
  </si>
  <si>
    <t>last modification date</t>
  </si>
  <si>
    <t>priority</t>
  </si>
  <si>
    <t>checked</t>
  </si>
  <si>
    <t>forest</t>
  </si>
  <si>
    <t>picture</t>
  </si>
  <si>
    <t>sea</t>
  </si>
  <si>
    <t>sound</t>
  </si>
  <si>
    <t>Yes</t>
  </si>
  <si>
    <t>high</t>
  </si>
  <si>
    <t>birds</t>
  </si>
  <si>
    <t>anthem</t>
  </si>
  <si>
    <t>text</t>
  </si>
  <si>
    <t>biology</t>
  </si>
  <si>
    <t>Apparatus </t>
  </si>
  <si>
    <t>Collection </t>
  </si>
  <si>
    <t>Composer </t>
  </si>
  <si>
    <t>Design </t>
  </si>
  <si>
    <t>Eclipse </t>
  </si>
  <si>
    <t>Interior </t>
  </si>
  <si>
    <t>Palm </t>
  </si>
  <si>
    <t>Puddle </t>
  </si>
  <si>
    <t>Analysis </t>
  </si>
  <si>
    <t>Blossom </t>
  </si>
  <si>
    <t>Client </t>
  </si>
  <si>
    <t>Cradle </t>
  </si>
  <si>
    <t>Enemy </t>
  </si>
  <si>
    <t>Fact </t>
  </si>
  <si>
    <t>Galoshes </t>
  </si>
  <si>
    <t>Playground </t>
  </si>
  <si>
    <t>Psychologist </t>
  </si>
  <si>
    <t>Ramie</t>
  </si>
  <si>
    <t>Fertilizer </t>
  </si>
  <si>
    <t>Forearm </t>
  </si>
  <si>
    <t>Forecast </t>
  </si>
  <si>
    <t>Gallon </t>
  </si>
  <si>
    <t>Geese </t>
  </si>
  <si>
    <t>Mouser </t>
  </si>
  <si>
    <t>Plan </t>
  </si>
  <si>
    <t>Softball </t>
  </si>
  <si>
    <t>Strain </t>
  </si>
  <si>
    <t>Bat </t>
  </si>
  <si>
    <t>Bend </t>
  </si>
  <si>
    <t>Bread </t>
  </si>
  <si>
    <t>Dash </t>
  </si>
  <si>
    <t>Elongation </t>
  </si>
  <si>
    <t>Lyre </t>
  </si>
  <si>
    <t>Protection </t>
  </si>
  <si>
    <t>View </t>
  </si>
  <si>
    <t>Whole </t>
  </si>
  <si>
    <t>Worker</t>
  </si>
  <si>
    <t>Aardvark </t>
  </si>
  <si>
    <t>Celeste </t>
  </si>
  <si>
    <t>Full </t>
  </si>
  <si>
    <t>Maelstrom </t>
  </si>
  <si>
    <t>Premeditation </t>
  </si>
  <si>
    <t>Racing </t>
  </si>
  <si>
    <t>Sitar </t>
  </si>
  <si>
    <t>Storyboard </t>
  </si>
  <si>
    <t>Surfboard </t>
  </si>
  <si>
    <t>Councilperson </t>
  </si>
  <si>
    <t>Creature </t>
  </si>
  <si>
    <t>Gherkin </t>
  </si>
  <si>
    <t>Mint </t>
  </si>
  <si>
    <t>Quotation </t>
  </si>
  <si>
    <t>Snuggle </t>
  </si>
  <si>
    <t>Story </t>
  </si>
  <si>
    <t>medium</t>
  </si>
  <si>
    <t>low</t>
  </si>
  <si>
    <t>No</t>
  </si>
  <si>
    <t>Table 2: file status</t>
  </si>
  <si>
    <t>Table 1: file properties</t>
  </si>
  <si>
    <t>Ниже представлены 2 таблицы с данными по некоторым файлам. Посмотрите на них, и выполните следующие задания наилучшим доступным вам способом. Если потребуются промежуточные операции, используйте свободное пространство на данном листе, организовав его по своему усмотрению.</t>
  </si>
  <si>
    <t>Тестовое задание для кандидата</t>
  </si>
  <si>
    <t>4. По выполнении заданий 1-3 подготовьте и оформите наилучшим по своему усмотрению способом один документ в Microsoft Word, в котором опишите своё решение задач. Отдельной секцией этого документа подготовьте пошаговую инструкцию по выполнению задания №3 на русском и английском языках. Получившийся документ переведите в формат .pdf.</t>
  </si>
  <si>
    <t>Необходимо выслать данный файл с решёнными заданиями а также документ  в формате .docx и .pdf</t>
  </si>
  <si>
    <t>1. Определите среднее значение размера файла типа sound и выведете результат в ячейке E4</t>
  </si>
  <si>
    <t>3. В таблице 2 внесены не все файлы из таблицы 1. Определите каких файлов не хватает, и дозаполните таблицу 2 недостающими значениями.  Для внесённых значений проставьте в колонке checked значение No, а в колонке priority: если размер файла меньше 10 мб, то проставьте low, если размер файла 10-15 мб - проставьте medium, если больше 15 мб, внесите значение high</t>
  </si>
  <si>
    <t>2. Определите самую раннюю дату изменения файла с приорететом low и выведите результат в ячейке E6</t>
  </si>
  <si>
    <t># Округлил до двух знаков после запятой</t>
  </si>
  <si>
    <t># К ячейке применил тип данных Short date</t>
  </si>
  <si>
    <t>Промежуточный столбец для задания 2</t>
  </si>
  <si>
    <t>size</t>
  </si>
  <si>
    <t>Промежуточные столбцы для задания 3</t>
  </si>
  <si>
    <t>status</t>
  </si>
  <si>
    <t>Step 1</t>
  </si>
  <si>
    <t>Step 2</t>
  </si>
  <si>
    <t>Step 3</t>
  </si>
  <si>
    <t>Step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</si>
</sst>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2" borderId="1" xfId="0" applyNumberFormat="1" applyFill="1" applyBorder="1" applyAlignment="1">
      <alignment horizontal="left" vertical="top"/>
    </xf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4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2">
    <dxf>
      <numFmt numFmtId="19" formatCode="dd/mm/yyyy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E7990-37F3-4050-B4C9-29B515705AEF}" name="Table1" displayName="Table1" ref="A14:D84" totalsRowShown="0">
  <autoFilter ref="A14:D84" xr:uid="{D7A63E1D-B966-42D9-AACE-7110256C7FCD}"/>
  <sortState xmlns:xlrd2="http://schemas.microsoft.com/office/spreadsheetml/2017/richdata2" ref="A19:D79">
    <sortCondition ref="D14:D84"/>
  </sortState>
  <tableColumns count="4">
    <tableColumn id="1" xr3:uid="{3B630E0A-67DD-47F4-A958-CEBF0BBA480D}" name="file"/>
    <tableColumn id="2" xr3:uid="{146EBA3E-F46F-4E23-8A97-56A7BF654886}" name="type"/>
    <tableColumn id="3" xr3:uid="{50853D55-A0BF-4DE7-B674-E0D0F1F4BFBE}" name="size, Mb" dataDxfId="1"/>
    <tableColumn id="4" xr3:uid="{DD98DE40-3823-4502-88D2-B29776DAF2FA}" name="last modification dat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DFFA6-95BB-4D1B-A073-A5D6A10299E0}" name="Table2" displayName="Table2" ref="G14:J84" totalsRowShown="0">
  <autoFilter ref="G14:J84" xr:uid="{11F79E97-A8FC-4198-B67A-C7567F7E438B}"/>
  <sortState xmlns:xlrd2="http://schemas.microsoft.com/office/spreadsheetml/2017/richdata2" ref="G15:J84">
    <sortCondition ref="G14:G84"/>
  </sortState>
  <tableColumns count="4">
    <tableColumn id="1" xr3:uid="{F92B3D63-F15D-4EEA-A836-123528615A4F}" name="file"/>
    <tableColumn id="2" xr3:uid="{E2FB36B3-6E46-4E05-A8B2-BD4BC57BAA8D}" name="type"/>
    <tableColumn id="3" xr3:uid="{4DAF24E0-DD9C-4471-86FE-F4AEB90CFF27}" name="priority"/>
    <tableColumn id="4" xr3:uid="{316020A2-6C5C-427E-8296-570CFE22874A}" name="check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3C4D-C27D-48E3-9A89-770C49E44C57}">
  <dimension ref="A1:T84"/>
  <sheetViews>
    <sheetView tabSelected="1" topLeftCell="B52" workbookViewId="0">
      <selection activeCell="L90" sqref="L90"/>
    </sheetView>
  </sheetViews>
  <sheetFormatPr defaultRowHeight="14.4" x14ac:dyDescent="0.3"/>
  <cols>
    <col min="1" max="1" width="14" customWidth="1"/>
    <col min="2" max="2" width="12.5546875" customWidth="1"/>
    <col min="3" max="3" width="15.5546875" customWidth="1"/>
    <col min="4" max="4" width="25.33203125" customWidth="1"/>
    <col min="5" max="5" width="10.109375" bestFit="1" customWidth="1"/>
    <col min="7" max="8" width="13.44140625" customWidth="1"/>
    <col min="9" max="9" width="14.88671875" customWidth="1"/>
    <col min="10" max="10" width="16.88671875" customWidth="1"/>
    <col min="12" max="12" width="36" bestFit="1" customWidth="1"/>
    <col min="14" max="14" width="36" bestFit="1" customWidth="1"/>
    <col min="22" max="22" width="9.109375" customWidth="1"/>
  </cols>
  <sheetData>
    <row r="1" spans="1:20" ht="24" customHeight="1" x14ac:dyDescent="0.3">
      <c r="A1" s="13" t="s">
        <v>75</v>
      </c>
      <c r="B1" s="13"/>
      <c r="C1" s="13"/>
      <c r="D1" s="13"/>
      <c r="E1" s="13"/>
      <c r="F1" s="13"/>
      <c r="G1" s="13"/>
      <c r="H1" s="13"/>
      <c r="I1" s="13"/>
      <c r="J1" s="13"/>
    </row>
    <row r="2" spans="1:20" ht="37.5" customHeight="1" x14ac:dyDescent="0.3">
      <c r="A2" s="14" t="s">
        <v>74</v>
      </c>
      <c r="B2" s="14"/>
      <c r="C2" s="14"/>
      <c r="D2" s="14"/>
      <c r="E2" s="14"/>
      <c r="F2" s="14"/>
      <c r="G2" s="14"/>
      <c r="H2" s="14"/>
      <c r="I2" s="14"/>
      <c r="J2" s="14"/>
    </row>
    <row r="3" spans="1:20" ht="18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20" ht="30.75" customHeight="1" x14ac:dyDescent="0.3">
      <c r="A4" s="14" t="s">
        <v>78</v>
      </c>
      <c r="B4" s="14"/>
      <c r="C4" s="14"/>
      <c r="D4" s="15"/>
      <c r="E4" s="3">
        <f>AVERAGEIF(Table1[type],"sound",Table1[size, Mb])</f>
        <v>23.526724095181343</v>
      </c>
      <c r="F4" s="19" t="s">
        <v>81</v>
      </c>
      <c r="G4" s="20"/>
      <c r="H4" s="20"/>
      <c r="I4" s="20"/>
      <c r="J4" s="20"/>
    </row>
    <row r="5" spans="1:20" ht="18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20" ht="31.5" customHeight="1" x14ac:dyDescent="0.3">
      <c r="A6" s="14" t="s">
        <v>80</v>
      </c>
      <c r="B6" s="14"/>
      <c r="C6" s="14"/>
      <c r="D6" s="15"/>
      <c r="E6" s="4">
        <f>_xlfn.MINIFS(L15:L84,I15:I84,"low")</f>
        <v>43239</v>
      </c>
      <c r="F6" s="17" t="s">
        <v>82</v>
      </c>
      <c r="G6" s="18"/>
      <c r="H6" s="18"/>
      <c r="I6" s="18"/>
      <c r="J6" s="18"/>
    </row>
    <row r="7" spans="1:20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20" ht="46.5" customHeight="1" x14ac:dyDescent="0.3">
      <c r="A8" s="14" t="s">
        <v>79</v>
      </c>
      <c r="B8" s="14"/>
      <c r="C8" s="14"/>
      <c r="D8" s="14"/>
      <c r="E8" s="14"/>
      <c r="F8" s="14"/>
      <c r="G8" s="14"/>
      <c r="H8" s="14"/>
      <c r="I8" s="14"/>
      <c r="J8" s="14"/>
    </row>
    <row r="9" spans="1:20" ht="15.7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20" ht="47.25" customHeight="1" x14ac:dyDescent="0.3">
      <c r="A10" s="14" t="s">
        <v>76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20" ht="21.75" customHeight="1" x14ac:dyDescent="0.3">
      <c r="A11" s="14" t="s">
        <v>77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20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N12" s="10" t="s">
        <v>85</v>
      </c>
      <c r="O12" s="10"/>
      <c r="P12" s="10"/>
      <c r="Q12" s="10"/>
      <c r="R12" s="10"/>
      <c r="S12" s="10"/>
      <c r="T12" s="10"/>
    </row>
    <row r="13" spans="1:20" x14ac:dyDescent="0.3">
      <c r="A13" s="12" t="s">
        <v>73</v>
      </c>
      <c r="B13" s="12"/>
      <c r="C13" s="12"/>
      <c r="D13" s="12"/>
      <c r="G13" s="12" t="s">
        <v>72</v>
      </c>
      <c r="H13" s="12"/>
      <c r="I13" s="12"/>
      <c r="J13" s="12"/>
      <c r="L13" s="8" t="s">
        <v>83</v>
      </c>
      <c r="N13" s="7" t="s">
        <v>87</v>
      </c>
      <c r="P13" s="11" t="s">
        <v>88</v>
      </c>
      <c r="Q13" s="11"/>
      <c r="R13" s="11"/>
      <c r="S13" s="7" t="s">
        <v>89</v>
      </c>
      <c r="T13" s="7" t="s">
        <v>90</v>
      </c>
    </row>
    <row r="14" spans="1:20" x14ac:dyDescent="0.3">
      <c r="A14" t="s">
        <v>0</v>
      </c>
      <c r="B14" t="s">
        <v>1</v>
      </c>
      <c r="C14" t="s">
        <v>2</v>
      </c>
      <c r="D14" t="s">
        <v>3</v>
      </c>
      <c r="G14" t="s">
        <v>0</v>
      </c>
      <c r="H14" t="s">
        <v>1</v>
      </c>
      <c r="I14" t="s">
        <v>4</v>
      </c>
      <c r="J14" t="s">
        <v>5</v>
      </c>
      <c r="L14" s="5" t="s">
        <v>3</v>
      </c>
      <c r="N14" s="5" t="s">
        <v>86</v>
      </c>
      <c r="P14" s="5" t="s">
        <v>0</v>
      </c>
      <c r="Q14" s="5" t="s">
        <v>1</v>
      </c>
      <c r="R14" s="5" t="s">
        <v>84</v>
      </c>
      <c r="S14" s="5" t="s">
        <v>4</v>
      </c>
      <c r="T14" s="5" t="s">
        <v>5</v>
      </c>
    </row>
    <row r="15" spans="1:20" x14ac:dyDescent="0.3">
      <c r="A15" t="s">
        <v>60</v>
      </c>
      <c r="B15" t="s">
        <v>9</v>
      </c>
      <c r="C15" s="1">
        <v>1.852700759580634</v>
      </c>
      <c r="D15" s="2">
        <v>43285</v>
      </c>
      <c r="G15" t="s">
        <v>53</v>
      </c>
      <c r="H15" t="s">
        <v>14</v>
      </c>
      <c r="I15" t="s">
        <v>11</v>
      </c>
      <c r="J15" t="s">
        <v>71</v>
      </c>
      <c r="L15" s="6" cm="1">
        <f t="array" ref="L15">_xlfn.XLOOKUP(G15&amp;H15,$A$15:$A$84&amp;$B$15:$B$84,$D$15:$D$84,"")</f>
        <v>43257</v>
      </c>
      <c r="N15" s="5" t="str">
        <f>IF(COUNTIFS($G$15:$G$79,A15,$H$15:$H$79,B15)=0,"Missing","Exists")</f>
        <v>Exists</v>
      </c>
      <c r="P15" s="5" t="str" cm="1">
        <f t="array" ref="P15:R19">_xlfn._xlws.FILTER(A15:C84,COUNTIFS($G$15:$G$79,A15:A84,$H$15:$H$79,B15:B84)=0)</f>
        <v>Protection </v>
      </c>
      <c r="Q15" s="5" t="str">
        <v>picture</v>
      </c>
      <c r="R15" s="5">
        <v>10</v>
      </c>
      <c r="S15" s="5" t="str">
        <f>IF(R15&lt;10,"low",IF(R15&lt;=15,"medium","high"))</f>
        <v>medium</v>
      </c>
      <c r="T15" s="5" t="s">
        <v>71</v>
      </c>
    </row>
    <row r="16" spans="1:20" x14ac:dyDescent="0.3">
      <c r="A16" t="s">
        <v>20</v>
      </c>
      <c r="B16" t="s">
        <v>7</v>
      </c>
      <c r="C16" s="1">
        <v>3.116324979573752</v>
      </c>
      <c r="D16" s="2">
        <v>43274</v>
      </c>
      <c r="G16" t="s">
        <v>24</v>
      </c>
      <c r="H16" t="s">
        <v>9</v>
      </c>
      <c r="I16" t="s">
        <v>69</v>
      </c>
      <c r="J16" t="s">
        <v>71</v>
      </c>
      <c r="L16" s="6" cm="1">
        <f t="array" ref="L16">_xlfn.XLOOKUP(G16&amp;H16,$A$15:$A$84&amp;$B$15:$B$84,$D$15:$D$84,"")</f>
        <v>43285</v>
      </c>
      <c r="N16" s="5" t="str">
        <f t="shared" ref="N16:N79" si="0">IF(COUNTIFS($G$15:$G$79,A16,$H$15:$H$79,B16)=0,"Missing","Exists")</f>
        <v>Exists</v>
      </c>
      <c r="P16" s="5" t="str">
        <v>Racing </v>
      </c>
      <c r="Q16" s="5" t="str">
        <v>sound</v>
      </c>
      <c r="R16" s="5">
        <v>14.000923462424772</v>
      </c>
      <c r="S16" s="5" t="str">
        <f t="shared" ref="S16:S19" si="1">IF(R16&lt;10,"low",IF(R16&lt;=15,"medium","high"))</f>
        <v>medium</v>
      </c>
      <c r="T16" s="5" t="s">
        <v>71</v>
      </c>
    </row>
    <row r="17" spans="1:20" x14ac:dyDescent="0.3">
      <c r="A17" t="s">
        <v>56</v>
      </c>
      <c r="B17" t="s">
        <v>7</v>
      </c>
      <c r="C17" s="1">
        <v>4.4070348675203057</v>
      </c>
      <c r="D17" s="2">
        <v>43293</v>
      </c>
      <c r="E17" s="1"/>
      <c r="G17" t="s">
        <v>13</v>
      </c>
      <c r="H17" t="s">
        <v>14</v>
      </c>
      <c r="I17" t="s">
        <v>11</v>
      </c>
      <c r="J17" t="s">
        <v>10</v>
      </c>
      <c r="L17" s="6" cm="1">
        <f t="array" ref="L17">_xlfn.XLOOKUP(G17&amp;H17,$A$15:$A$84&amp;$B$15:$B$84,$D$15:$D$84,"")</f>
        <v>43252</v>
      </c>
      <c r="N17" s="5" t="str">
        <f t="shared" si="0"/>
        <v>Exists</v>
      </c>
      <c r="P17" s="5" t="str">
        <v>Playground </v>
      </c>
      <c r="Q17" s="5" t="str">
        <v>picture</v>
      </c>
      <c r="R17" s="5">
        <v>19.779021171662663</v>
      </c>
      <c r="S17" s="5" t="str">
        <f t="shared" si="1"/>
        <v>high</v>
      </c>
      <c r="T17" s="5" t="s">
        <v>71</v>
      </c>
    </row>
    <row r="18" spans="1:20" x14ac:dyDescent="0.3">
      <c r="A18" t="s">
        <v>29</v>
      </c>
      <c r="B18" t="s">
        <v>14</v>
      </c>
      <c r="C18" s="1">
        <v>4.5369596145412814</v>
      </c>
      <c r="D18" s="2">
        <v>43272</v>
      </c>
      <c r="E18" s="1"/>
      <c r="G18" t="s">
        <v>13</v>
      </c>
      <c r="H18" t="s">
        <v>9</v>
      </c>
      <c r="I18" t="s">
        <v>69</v>
      </c>
      <c r="J18" t="s">
        <v>71</v>
      </c>
      <c r="L18" s="6" cm="1">
        <f t="array" ref="L18">_xlfn.XLOOKUP(G18&amp;H18,$A$15:$A$84&amp;$B$15:$B$84,$D$15:$D$84,"")</f>
        <v>43307</v>
      </c>
      <c r="N18" s="5" t="str">
        <f t="shared" si="0"/>
        <v>Exists</v>
      </c>
      <c r="P18" s="5" t="str">
        <v>Mint </v>
      </c>
      <c r="Q18" s="5" t="str">
        <v>text</v>
      </c>
      <c r="R18" s="5">
        <v>34.186804087291868</v>
      </c>
      <c r="S18" s="5" t="str">
        <f t="shared" si="1"/>
        <v>high</v>
      </c>
      <c r="T18" s="5" t="s">
        <v>71</v>
      </c>
    </row>
    <row r="19" spans="1:20" x14ac:dyDescent="0.3">
      <c r="A19" t="s">
        <v>8</v>
      </c>
      <c r="B19" t="s">
        <v>9</v>
      </c>
      <c r="C19" s="1">
        <v>10.8</v>
      </c>
      <c r="D19" s="2">
        <v>43239</v>
      </c>
      <c r="E19" s="1"/>
      <c r="G19" t="s">
        <v>16</v>
      </c>
      <c r="H19" t="s">
        <v>14</v>
      </c>
      <c r="I19" t="s">
        <v>70</v>
      </c>
      <c r="J19" t="s">
        <v>10</v>
      </c>
      <c r="L19" s="6" cm="1">
        <f t="array" ref="L19">_xlfn.XLOOKUP(G19&amp;H19,$A$15:$A$84&amp;$B$15:$B$84,$D$15:$D$84,"")</f>
        <v>43262</v>
      </c>
      <c r="N19" s="5" t="str">
        <f t="shared" si="0"/>
        <v>Exists</v>
      </c>
      <c r="P19" s="5" t="str">
        <v>birds</v>
      </c>
      <c r="Q19" s="5" t="str">
        <v>sound</v>
      </c>
      <c r="R19" s="5">
        <v>31.063623025910331</v>
      </c>
      <c r="S19" s="5" t="str">
        <f t="shared" si="1"/>
        <v>high</v>
      </c>
      <c r="T19" s="5" t="s">
        <v>71</v>
      </c>
    </row>
    <row r="20" spans="1:20" x14ac:dyDescent="0.3">
      <c r="A20" t="s">
        <v>57</v>
      </c>
      <c r="B20" t="s">
        <v>9</v>
      </c>
      <c r="C20" s="1">
        <v>5.6271328170190715</v>
      </c>
      <c r="D20" s="2">
        <v>43263</v>
      </c>
      <c r="E20" s="1"/>
      <c r="G20" t="s">
        <v>43</v>
      </c>
      <c r="H20" t="s">
        <v>14</v>
      </c>
      <c r="I20" t="s">
        <v>70</v>
      </c>
      <c r="J20" t="s">
        <v>71</v>
      </c>
      <c r="L20" s="6" cm="1">
        <f t="array" ref="L20">_xlfn.XLOOKUP(G20&amp;H20,$A$15:$A$84&amp;$B$15:$B$84,$D$15:$D$84,"")</f>
        <v>43302</v>
      </c>
      <c r="N20" s="5" t="str">
        <f t="shared" si="0"/>
        <v>Exists</v>
      </c>
    </row>
    <row r="21" spans="1:20" x14ac:dyDescent="0.3">
      <c r="A21" t="s">
        <v>50</v>
      </c>
      <c r="B21" t="s">
        <v>14</v>
      </c>
      <c r="C21" s="1">
        <v>6.3698311478086449</v>
      </c>
      <c r="D21" s="2">
        <v>43291</v>
      </c>
      <c r="E21" s="1"/>
      <c r="G21" t="s">
        <v>44</v>
      </c>
      <c r="H21" t="s">
        <v>9</v>
      </c>
      <c r="I21" t="s">
        <v>69</v>
      </c>
      <c r="J21" t="s">
        <v>10</v>
      </c>
      <c r="L21" s="6" cm="1">
        <f t="array" ref="L21">_xlfn.XLOOKUP(G21&amp;H21,$A$15:$A$84&amp;$B$15:$B$84,$D$15:$D$84,"")</f>
        <v>43300</v>
      </c>
      <c r="N21" s="5" t="str">
        <f t="shared" si="0"/>
        <v>Exists</v>
      </c>
    </row>
    <row r="22" spans="1:20" x14ac:dyDescent="0.3">
      <c r="A22" t="s">
        <v>6</v>
      </c>
      <c r="B22" t="s">
        <v>7</v>
      </c>
      <c r="C22" s="1">
        <v>6.6</v>
      </c>
      <c r="D22" s="2">
        <v>43327</v>
      </c>
      <c r="E22" s="1"/>
      <c r="G22" t="s">
        <v>15</v>
      </c>
      <c r="H22" t="s">
        <v>14</v>
      </c>
      <c r="I22" t="s">
        <v>70</v>
      </c>
      <c r="J22" t="s">
        <v>71</v>
      </c>
      <c r="L22" s="6" cm="1">
        <f t="array" ref="L22">_xlfn.XLOOKUP(G22&amp;H22,$A$15:$A$84&amp;$B$15:$B$84,$D$15:$D$84,"")</f>
        <v>43239</v>
      </c>
      <c r="N22" s="5" t="str">
        <f t="shared" si="0"/>
        <v>Exists</v>
      </c>
    </row>
    <row r="23" spans="1:20" x14ac:dyDescent="0.3">
      <c r="A23" t="s">
        <v>29</v>
      </c>
      <c r="B23" t="s">
        <v>9</v>
      </c>
      <c r="C23" s="1">
        <v>6.8717734229421437</v>
      </c>
      <c r="D23" s="2">
        <v>43284</v>
      </c>
      <c r="E23" s="1"/>
      <c r="G23" t="s">
        <v>12</v>
      </c>
      <c r="H23" t="s">
        <v>7</v>
      </c>
      <c r="I23" t="s">
        <v>70</v>
      </c>
      <c r="J23" t="s">
        <v>71</v>
      </c>
      <c r="L23" s="6" cm="1">
        <f t="array" ref="L23">_xlfn.XLOOKUP(G23&amp;H23,$A$15:$A$84&amp;$B$15:$B$84,$D$15:$D$84,"")</f>
        <v>43283</v>
      </c>
      <c r="N23" s="5" t="str">
        <f t="shared" si="0"/>
        <v>Exists</v>
      </c>
    </row>
    <row r="24" spans="1:20" x14ac:dyDescent="0.3">
      <c r="A24" t="s">
        <v>62</v>
      </c>
      <c r="B24" t="s">
        <v>14</v>
      </c>
      <c r="C24" s="1">
        <v>6.8827931427375173</v>
      </c>
      <c r="D24" s="2">
        <v>43313</v>
      </c>
      <c r="E24" s="1"/>
      <c r="G24" t="s">
        <v>25</v>
      </c>
      <c r="H24" t="s">
        <v>9</v>
      </c>
      <c r="I24" t="s">
        <v>69</v>
      </c>
      <c r="J24" t="s">
        <v>71</v>
      </c>
      <c r="L24" s="6" cm="1">
        <f t="array" ref="L24">_xlfn.XLOOKUP(G24&amp;H24,$A$15:$A$84&amp;$B$15:$B$84,$D$15:$D$84,"")</f>
        <v>43299</v>
      </c>
      <c r="N24" s="5" t="str">
        <f t="shared" si="0"/>
        <v>Exists</v>
      </c>
    </row>
    <row r="25" spans="1:20" x14ac:dyDescent="0.3">
      <c r="A25" t="s">
        <v>45</v>
      </c>
      <c r="B25" t="s">
        <v>7</v>
      </c>
      <c r="C25" s="1">
        <v>8.6168842858135992</v>
      </c>
      <c r="D25" s="2">
        <v>43254</v>
      </c>
      <c r="E25" s="1"/>
      <c r="G25" t="s">
        <v>45</v>
      </c>
      <c r="H25" t="s">
        <v>7</v>
      </c>
      <c r="I25" t="s">
        <v>69</v>
      </c>
      <c r="J25" t="s">
        <v>10</v>
      </c>
      <c r="L25" s="6" cm="1">
        <f t="array" ref="L25">_xlfn.XLOOKUP(G25&amp;H25,$A$15:$A$84&amp;$B$15:$B$84,$D$15:$D$84,"")</f>
        <v>43254</v>
      </c>
      <c r="N25" s="5" t="str">
        <f t="shared" si="0"/>
        <v>Exists</v>
      </c>
    </row>
    <row r="26" spans="1:20" x14ac:dyDescent="0.3">
      <c r="A26" t="s">
        <v>67</v>
      </c>
      <c r="B26" t="s">
        <v>14</v>
      </c>
      <c r="C26" s="1">
        <v>8.9575610126074832</v>
      </c>
      <c r="D26" s="2">
        <v>43300</v>
      </c>
      <c r="E26" s="1"/>
      <c r="G26" t="s">
        <v>45</v>
      </c>
      <c r="H26" t="s">
        <v>14</v>
      </c>
      <c r="I26" t="s">
        <v>70</v>
      </c>
      <c r="J26" t="s">
        <v>10</v>
      </c>
      <c r="L26" s="6" cm="1">
        <f t="array" ref="L26">_xlfn.XLOOKUP(G26&amp;H26,$A$15:$A$84&amp;$B$15:$B$84,$D$15:$D$84,"")</f>
        <v>43326</v>
      </c>
      <c r="N26" s="5" t="str">
        <f t="shared" si="0"/>
        <v>Exists</v>
      </c>
    </row>
    <row r="27" spans="1:20" x14ac:dyDescent="0.3">
      <c r="A27" t="s">
        <v>58</v>
      </c>
      <c r="B27" t="s">
        <v>14</v>
      </c>
      <c r="C27" s="1">
        <v>8.9729615928392104</v>
      </c>
      <c r="D27" s="2">
        <v>43319</v>
      </c>
      <c r="E27" s="1"/>
      <c r="G27" t="s">
        <v>54</v>
      </c>
      <c r="H27" t="s">
        <v>7</v>
      </c>
      <c r="I27" t="s">
        <v>69</v>
      </c>
      <c r="J27" t="s">
        <v>71</v>
      </c>
      <c r="L27" s="6" cm="1">
        <f t="array" ref="L27">_xlfn.XLOOKUP(G27&amp;H27,$A$15:$A$84&amp;$B$15:$B$84,$D$15:$D$84,"")</f>
        <v>43319</v>
      </c>
      <c r="N27" s="5" t="str">
        <f t="shared" si="0"/>
        <v>Exists</v>
      </c>
    </row>
    <row r="28" spans="1:20" x14ac:dyDescent="0.3">
      <c r="A28" t="s">
        <v>63</v>
      </c>
      <c r="B28" t="s">
        <v>9</v>
      </c>
      <c r="C28" s="1">
        <v>9.4186566449864557</v>
      </c>
      <c r="D28" s="2">
        <v>43259</v>
      </c>
      <c r="E28" s="1"/>
      <c r="G28" t="s">
        <v>26</v>
      </c>
      <c r="H28" t="s">
        <v>7</v>
      </c>
      <c r="I28" t="s">
        <v>69</v>
      </c>
      <c r="J28" t="s">
        <v>71</v>
      </c>
      <c r="L28" s="6" cm="1">
        <f t="array" ref="L28">_xlfn.XLOOKUP(G28&amp;H28,$A$15:$A$84&amp;$B$15:$B$84,$D$15:$D$84,"")</f>
        <v>43243</v>
      </c>
      <c r="N28" s="5" t="str">
        <f t="shared" si="0"/>
        <v>Exists</v>
      </c>
    </row>
    <row r="29" spans="1:20" x14ac:dyDescent="0.3">
      <c r="A29" t="s">
        <v>31</v>
      </c>
      <c r="B29" t="s">
        <v>9</v>
      </c>
      <c r="C29" s="1">
        <v>9.6156531105461553</v>
      </c>
      <c r="D29" s="2">
        <v>43309</v>
      </c>
      <c r="E29" s="1"/>
      <c r="G29" t="s">
        <v>17</v>
      </c>
      <c r="H29" t="s">
        <v>14</v>
      </c>
      <c r="I29" t="s">
        <v>69</v>
      </c>
      <c r="J29" t="s">
        <v>10</v>
      </c>
      <c r="L29" s="6" cm="1">
        <f t="array" ref="L29">_xlfn.XLOOKUP(G29&amp;H29,$A$15:$A$84&amp;$B$15:$B$84,$D$15:$D$84,"")</f>
        <v>43318</v>
      </c>
      <c r="N29" s="5" t="str">
        <f t="shared" si="0"/>
        <v>Exists</v>
      </c>
    </row>
    <row r="30" spans="1:20" x14ac:dyDescent="0.3">
      <c r="A30" t="s">
        <v>49</v>
      </c>
      <c r="B30" t="s">
        <v>7</v>
      </c>
      <c r="C30" s="1">
        <v>10</v>
      </c>
      <c r="D30" s="2">
        <v>43273</v>
      </c>
      <c r="E30" s="1"/>
      <c r="G30" t="s">
        <v>18</v>
      </c>
      <c r="H30" t="s">
        <v>14</v>
      </c>
      <c r="I30" t="s">
        <v>69</v>
      </c>
      <c r="J30" t="s">
        <v>71</v>
      </c>
      <c r="L30" s="6" cm="1">
        <f t="array" ref="L30">_xlfn.XLOOKUP(G30&amp;H30,$A$15:$A$84&amp;$B$15:$B$84,$D$15:$D$84,"")</f>
        <v>43289</v>
      </c>
      <c r="N30" s="5" t="str">
        <f t="shared" si="0"/>
        <v>Missing</v>
      </c>
    </row>
    <row r="31" spans="1:20" x14ac:dyDescent="0.3">
      <c r="A31" t="s">
        <v>66</v>
      </c>
      <c r="B31" t="s">
        <v>7</v>
      </c>
      <c r="C31" s="1">
        <v>10.170679793869034</v>
      </c>
      <c r="D31" s="2">
        <v>43314</v>
      </c>
      <c r="E31" s="1"/>
      <c r="G31" t="s">
        <v>62</v>
      </c>
      <c r="H31" t="s">
        <v>14</v>
      </c>
      <c r="I31" t="s">
        <v>70</v>
      </c>
      <c r="J31" t="s">
        <v>10</v>
      </c>
      <c r="L31" s="6" cm="1">
        <f t="array" ref="L31">_xlfn.XLOOKUP(G31&amp;H31,$A$15:$A$84&amp;$B$15:$B$84,$D$15:$D$84,"")</f>
        <v>43313</v>
      </c>
      <c r="N31" s="5" t="str">
        <f t="shared" si="0"/>
        <v>Exists</v>
      </c>
    </row>
    <row r="32" spans="1:20" x14ac:dyDescent="0.3">
      <c r="A32" t="s">
        <v>15</v>
      </c>
      <c r="B32" t="s">
        <v>14</v>
      </c>
      <c r="C32" s="1">
        <v>25.166056434625013</v>
      </c>
      <c r="D32" s="2">
        <v>43239</v>
      </c>
      <c r="E32" s="1"/>
      <c r="G32" t="s">
        <v>27</v>
      </c>
      <c r="H32" t="s">
        <v>7</v>
      </c>
      <c r="I32" t="s">
        <v>69</v>
      </c>
      <c r="J32" t="s">
        <v>71</v>
      </c>
      <c r="L32" s="6" cm="1">
        <f t="array" ref="L32">_xlfn.XLOOKUP(G32&amp;H32,$A$15:$A$84&amp;$B$15:$B$84,$D$15:$D$84,"")</f>
        <v>43326</v>
      </c>
      <c r="N32" s="5" t="str">
        <f t="shared" si="0"/>
        <v>Exists</v>
      </c>
    </row>
    <row r="33" spans="1:14" x14ac:dyDescent="0.3">
      <c r="A33" t="s">
        <v>33</v>
      </c>
      <c r="B33" t="s">
        <v>9</v>
      </c>
      <c r="C33" s="1">
        <v>11.662950464432488</v>
      </c>
      <c r="D33" s="2">
        <v>43281</v>
      </c>
      <c r="E33" s="1"/>
      <c r="G33" t="s">
        <v>63</v>
      </c>
      <c r="H33" t="s">
        <v>9</v>
      </c>
      <c r="I33" t="s">
        <v>70</v>
      </c>
      <c r="J33" t="s">
        <v>71</v>
      </c>
      <c r="L33" s="6" cm="1">
        <f t="array" ref="L33">_xlfn.XLOOKUP(G33&amp;H33,$A$15:$A$84&amp;$B$15:$B$84,$D$15:$D$84,"")</f>
        <v>43259</v>
      </c>
      <c r="N33" s="5" t="str">
        <f t="shared" si="0"/>
        <v>Exists</v>
      </c>
    </row>
    <row r="34" spans="1:14" x14ac:dyDescent="0.3">
      <c r="A34" t="s">
        <v>32</v>
      </c>
      <c r="B34" t="s">
        <v>7</v>
      </c>
      <c r="C34" s="1">
        <v>13.7964719812071</v>
      </c>
      <c r="D34" s="2">
        <v>43268</v>
      </c>
      <c r="E34" s="1"/>
      <c r="G34" t="s">
        <v>46</v>
      </c>
      <c r="H34" t="s">
        <v>14</v>
      </c>
      <c r="I34" t="s">
        <v>70</v>
      </c>
      <c r="J34" t="s">
        <v>71</v>
      </c>
      <c r="L34" s="6" cm="1">
        <f t="array" ref="L34">_xlfn.XLOOKUP(G34&amp;H34,$A$15:$A$84&amp;$B$15:$B$84,$D$15:$D$84,"")</f>
        <v>43255</v>
      </c>
      <c r="N34" s="5" t="str">
        <f t="shared" si="0"/>
        <v>Exists</v>
      </c>
    </row>
    <row r="35" spans="1:14" x14ac:dyDescent="0.3">
      <c r="A35" t="s">
        <v>58</v>
      </c>
      <c r="B35" t="s">
        <v>9</v>
      </c>
      <c r="C35" s="1">
        <v>14.000923462424772</v>
      </c>
      <c r="D35" s="2">
        <v>43299</v>
      </c>
      <c r="E35" s="1"/>
      <c r="G35" t="s">
        <v>19</v>
      </c>
      <c r="H35" t="s">
        <v>14</v>
      </c>
      <c r="I35" t="s">
        <v>70</v>
      </c>
      <c r="J35" t="s">
        <v>71</v>
      </c>
      <c r="L35" s="6" cm="1">
        <f t="array" ref="L35">_xlfn.XLOOKUP(G35&amp;H35,$A$15:$A$84&amp;$B$15:$B$84,$D$15:$D$84,"")</f>
        <v>43313</v>
      </c>
      <c r="N35" s="5" t="str">
        <f t="shared" si="0"/>
        <v>Missing</v>
      </c>
    </row>
    <row r="36" spans="1:14" x14ac:dyDescent="0.3">
      <c r="A36" t="s">
        <v>28</v>
      </c>
      <c r="B36" t="s">
        <v>14</v>
      </c>
      <c r="C36" s="1">
        <v>14.170832500266556</v>
      </c>
      <c r="D36" s="2">
        <v>43294</v>
      </c>
      <c r="E36" s="1"/>
      <c r="G36" t="s">
        <v>19</v>
      </c>
      <c r="H36" t="s">
        <v>7</v>
      </c>
      <c r="I36" t="s">
        <v>70</v>
      </c>
      <c r="J36" t="s">
        <v>71</v>
      </c>
      <c r="L36" s="6" cm="1">
        <f t="array" ref="L36">_xlfn.XLOOKUP(G36&amp;H36,$A$15:$A$84&amp;$B$15:$B$84,$D$15:$D$84,"")</f>
        <v>43286</v>
      </c>
      <c r="N36" s="5" t="str">
        <f t="shared" si="0"/>
        <v>Exists</v>
      </c>
    </row>
    <row r="37" spans="1:14" x14ac:dyDescent="0.3">
      <c r="A37" t="s">
        <v>49</v>
      </c>
      <c r="B37" t="s">
        <v>9</v>
      </c>
      <c r="C37" s="1">
        <v>14.84253624494165</v>
      </c>
      <c r="D37" s="2">
        <v>43268</v>
      </c>
      <c r="E37" s="1"/>
      <c r="G37" t="s">
        <v>20</v>
      </c>
      <c r="H37" t="s">
        <v>7</v>
      </c>
      <c r="I37" t="s">
        <v>70</v>
      </c>
      <c r="J37" t="s">
        <v>71</v>
      </c>
      <c r="L37" s="6" cm="1">
        <f t="array" ref="L37">_xlfn.XLOOKUP(G37&amp;H37,$A$15:$A$84&amp;$B$15:$B$84,$D$15:$D$84,"")</f>
        <v>43274</v>
      </c>
      <c r="N37" s="5" t="str">
        <f t="shared" si="0"/>
        <v>Exists</v>
      </c>
    </row>
    <row r="38" spans="1:14" x14ac:dyDescent="0.3">
      <c r="A38" t="s">
        <v>21</v>
      </c>
      <c r="B38" t="s">
        <v>7</v>
      </c>
      <c r="C38" s="1">
        <v>15.465672832814949</v>
      </c>
      <c r="D38" s="2">
        <v>43296</v>
      </c>
      <c r="E38" s="1"/>
      <c r="G38" t="s">
        <v>47</v>
      </c>
      <c r="H38" t="s">
        <v>14</v>
      </c>
      <c r="I38" t="s">
        <v>70</v>
      </c>
      <c r="J38" t="s">
        <v>71</v>
      </c>
      <c r="L38" s="6" cm="1">
        <f t="array" ref="L38">_xlfn.XLOOKUP(G38&amp;H38,$A$15:$A$84&amp;$B$15:$B$84,$D$15:$D$84,"")</f>
        <v>43278</v>
      </c>
      <c r="N38" s="5" t="str">
        <f t="shared" si="0"/>
        <v>Exists</v>
      </c>
    </row>
    <row r="39" spans="1:14" x14ac:dyDescent="0.3">
      <c r="A39" t="s">
        <v>42</v>
      </c>
      <c r="B39" t="s">
        <v>14</v>
      </c>
      <c r="C39" s="1">
        <v>41.047203287438933</v>
      </c>
      <c r="D39" s="2">
        <v>43241</v>
      </c>
      <c r="E39" s="1"/>
      <c r="G39" t="s">
        <v>28</v>
      </c>
      <c r="H39" t="s">
        <v>14</v>
      </c>
      <c r="I39" t="s">
        <v>70</v>
      </c>
      <c r="J39" t="s">
        <v>71</v>
      </c>
      <c r="L39" s="6" cm="1">
        <f t="array" ref="L39">_xlfn.XLOOKUP(G39&amp;H39,$A$15:$A$84&amp;$B$15:$B$84,$D$15:$D$84,"")</f>
        <v>43294</v>
      </c>
      <c r="N39" s="5" t="str">
        <f t="shared" si="0"/>
        <v>Exists</v>
      </c>
    </row>
    <row r="40" spans="1:14" x14ac:dyDescent="0.3">
      <c r="A40" t="s">
        <v>27</v>
      </c>
      <c r="B40" t="s">
        <v>7</v>
      </c>
      <c r="C40" s="1">
        <v>16.593345221613212</v>
      </c>
      <c r="D40" s="2">
        <v>43326</v>
      </c>
      <c r="E40" s="1"/>
      <c r="G40" t="s">
        <v>28</v>
      </c>
      <c r="H40" t="s">
        <v>7</v>
      </c>
      <c r="I40" t="s">
        <v>69</v>
      </c>
      <c r="J40" t="s">
        <v>10</v>
      </c>
      <c r="L40" s="6" cm="1">
        <f t="array" ref="L40">_xlfn.XLOOKUP(G40&amp;H40,$A$15:$A$84&amp;$B$15:$B$84,$D$15:$D$84,"")</f>
        <v>43289</v>
      </c>
      <c r="N40" s="5" t="str">
        <f t="shared" si="0"/>
        <v>Exists</v>
      </c>
    </row>
    <row r="41" spans="1:14" x14ac:dyDescent="0.3">
      <c r="A41" t="s">
        <v>28</v>
      </c>
      <c r="B41" t="s">
        <v>7</v>
      </c>
      <c r="C41" s="1">
        <v>17.740262783442489</v>
      </c>
      <c r="D41" s="2">
        <v>43289</v>
      </c>
      <c r="E41" s="1"/>
      <c r="G41" t="s">
        <v>29</v>
      </c>
      <c r="H41" t="s">
        <v>14</v>
      </c>
      <c r="I41" t="s">
        <v>70</v>
      </c>
      <c r="J41" t="s">
        <v>71</v>
      </c>
      <c r="L41" s="6" cm="1">
        <f t="array" ref="L41">_xlfn.XLOOKUP(G41&amp;H41,$A$15:$A$84&amp;$B$15:$B$84,$D$15:$D$84,"")</f>
        <v>43272</v>
      </c>
      <c r="N41" s="5" t="str">
        <f t="shared" si="0"/>
        <v>Exists</v>
      </c>
    </row>
    <row r="42" spans="1:14" x14ac:dyDescent="0.3">
      <c r="A42" t="s">
        <v>30</v>
      </c>
      <c r="B42" t="s">
        <v>14</v>
      </c>
      <c r="C42" s="1">
        <v>19.4758766479613</v>
      </c>
      <c r="D42" s="2">
        <v>43289</v>
      </c>
      <c r="E42" s="1"/>
      <c r="G42" t="s">
        <v>29</v>
      </c>
      <c r="H42" t="s">
        <v>9</v>
      </c>
      <c r="I42" t="s">
        <v>70</v>
      </c>
      <c r="J42" t="s">
        <v>10</v>
      </c>
      <c r="L42" s="6" cm="1">
        <f t="array" ref="L42">_xlfn.XLOOKUP(G42&amp;H42,$A$15:$A$84&amp;$B$15:$B$84,$D$15:$D$84,"")</f>
        <v>43284</v>
      </c>
      <c r="N42" s="5" t="str">
        <f t="shared" si="0"/>
        <v>Exists</v>
      </c>
    </row>
    <row r="43" spans="1:14" x14ac:dyDescent="0.3">
      <c r="A43" t="s">
        <v>31</v>
      </c>
      <c r="B43" t="s">
        <v>7</v>
      </c>
      <c r="C43" s="1">
        <v>19.779021171662663</v>
      </c>
      <c r="D43" s="2">
        <v>43259</v>
      </c>
      <c r="E43" s="1"/>
      <c r="G43" t="s">
        <v>34</v>
      </c>
      <c r="H43" t="s">
        <v>9</v>
      </c>
      <c r="I43" t="s">
        <v>70</v>
      </c>
      <c r="J43" t="s">
        <v>10</v>
      </c>
      <c r="L43" s="6" cm="1">
        <f t="array" ref="L43">_xlfn.XLOOKUP(G43&amp;H43,$A$15:$A$84&amp;$B$15:$B$84,$D$15:$D$84,"")</f>
        <v>43245</v>
      </c>
      <c r="N43" s="5" t="str">
        <f t="shared" si="0"/>
        <v>Missing</v>
      </c>
    </row>
    <row r="44" spans="1:14" x14ac:dyDescent="0.3">
      <c r="A44" t="s">
        <v>44</v>
      </c>
      <c r="B44" t="s">
        <v>9</v>
      </c>
      <c r="C44" s="1">
        <v>20.397702239571696</v>
      </c>
      <c r="D44" s="2">
        <v>43300</v>
      </c>
      <c r="E44" s="1"/>
      <c r="G44" t="s">
        <v>35</v>
      </c>
      <c r="H44" t="s">
        <v>9</v>
      </c>
      <c r="I44" t="s">
        <v>11</v>
      </c>
      <c r="J44" t="s">
        <v>10</v>
      </c>
      <c r="L44" s="6" cm="1">
        <f t="array" ref="L44">_xlfn.XLOOKUP(G44&amp;H44,$A$15:$A$84&amp;$B$15:$B$84,$D$15:$D$84,"")</f>
        <v>43323</v>
      </c>
      <c r="N44" s="5" t="str">
        <f t="shared" si="0"/>
        <v>Exists</v>
      </c>
    </row>
    <row r="45" spans="1:14" x14ac:dyDescent="0.3">
      <c r="A45" t="s">
        <v>46</v>
      </c>
      <c r="B45" t="s">
        <v>14</v>
      </c>
      <c r="C45" s="1">
        <v>20.462249502627024</v>
      </c>
      <c r="D45" s="2">
        <v>43255</v>
      </c>
      <c r="E45" s="1"/>
      <c r="G45" t="s">
        <v>36</v>
      </c>
      <c r="H45" t="s">
        <v>9</v>
      </c>
      <c r="I45" t="s">
        <v>11</v>
      </c>
      <c r="J45" t="s">
        <v>71</v>
      </c>
      <c r="L45" s="6" cm="1">
        <f t="array" ref="L45">_xlfn.XLOOKUP(G45&amp;H45,$A$15:$A$84&amp;$B$15:$B$84,$D$15:$D$84,"")</f>
        <v>43249</v>
      </c>
      <c r="N45" s="5" t="str">
        <f t="shared" si="0"/>
        <v>Exists</v>
      </c>
    </row>
    <row r="46" spans="1:14" x14ac:dyDescent="0.3">
      <c r="A46" t="s">
        <v>40</v>
      </c>
      <c r="B46" t="s">
        <v>14</v>
      </c>
      <c r="C46" s="1">
        <v>21.067581895153356</v>
      </c>
      <c r="D46" s="2">
        <v>43298</v>
      </c>
      <c r="E46" s="1"/>
      <c r="G46" t="s">
        <v>6</v>
      </c>
      <c r="H46" t="s">
        <v>7</v>
      </c>
      <c r="I46" t="s">
        <v>11</v>
      </c>
      <c r="J46" t="s">
        <v>10</v>
      </c>
      <c r="L46" s="6" cm="1">
        <f t="array" ref="L46">_xlfn.XLOOKUP(G46&amp;H46,$A$15:$A$84&amp;$B$15:$B$84,$D$15:$D$84,"")</f>
        <v>43327</v>
      </c>
      <c r="N46" s="5" t="str">
        <f t="shared" si="0"/>
        <v>Exists</v>
      </c>
    </row>
    <row r="47" spans="1:14" x14ac:dyDescent="0.3">
      <c r="A47" t="s">
        <v>19</v>
      </c>
      <c r="B47" t="s">
        <v>7</v>
      </c>
      <c r="C47" s="1">
        <v>21.260067412736117</v>
      </c>
      <c r="D47" s="2">
        <v>43286</v>
      </c>
      <c r="E47" s="1"/>
      <c r="G47" t="s">
        <v>55</v>
      </c>
      <c r="H47" t="s">
        <v>7</v>
      </c>
      <c r="I47" t="s">
        <v>70</v>
      </c>
      <c r="J47" t="s">
        <v>10</v>
      </c>
      <c r="L47" s="6" cm="1">
        <f t="array" ref="L47">_xlfn.XLOOKUP(G47&amp;H47,$A$15:$A$84&amp;$B$15:$B$84,$D$15:$D$84,"")</f>
        <v>43246</v>
      </c>
      <c r="N47" s="5" t="str">
        <f t="shared" si="0"/>
        <v>Exists</v>
      </c>
    </row>
    <row r="48" spans="1:14" x14ac:dyDescent="0.3">
      <c r="A48" t="s">
        <v>17</v>
      </c>
      <c r="B48" t="s">
        <v>14</v>
      </c>
      <c r="C48" s="1">
        <v>21.378368609272748</v>
      </c>
      <c r="D48" s="2">
        <v>43318</v>
      </c>
      <c r="E48" s="1"/>
      <c r="G48" t="s">
        <v>37</v>
      </c>
      <c r="H48" t="s">
        <v>9</v>
      </c>
      <c r="I48" t="s">
        <v>69</v>
      </c>
      <c r="J48" t="s">
        <v>10</v>
      </c>
      <c r="L48" s="6" cm="1">
        <f t="array" ref="L48">_xlfn.XLOOKUP(G48&amp;H48,$A$15:$A$84&amp;$B$15:$B$84,$D$15:$D$84,"")</f>
        <v>43312</v>
      </c>
      <c r="N48" s="5" t="str">
        <f t="shared" si="0"/>
        <v>Exists</v>
      </c>
    </row>
    <row r="49" spans="1:14" x14ac:dyDescent="0.3">
      <c r="A49" t="s">
        <v>26</v>
      </c>
      <c r="B49" t="s">
        <v>7</v>
      </c>
      <c r="C49" s="1">
        <v>31.804540320962943</v>
      </c>
      <c r="D49" s="2">
        <v>43243</v>
      </c>
      <c r="E49" s="1"/>
      <c r="G49" t="s">
        <v>30</v>
      </c>
      <c r="H49" t="s">
        <v>14</v>
      </c>
      <c r="I49" t="s">
        <v>70</v>
      </c>
      <c r="J49" t="s">
        <v>71</v>
      </c>
      <c r="L49" s="6" cm="1">
        <f t="array" ref="L49">_xlfn.XLOOKUP(G49&amp;H49,$A$15:$A$84&amp;$B$15:$B$84,$D$15:$D$84,"")</f>
        <v>43289</v>
      </c>
      <c r="N49" s="5" t="str">
        <f t="shared" si="0"/>
        <v>Exists</v>
      </c>
    </row>
    <row r="50" spans="1:14" x14ac:dyDescent="0.3">
      <c r="A50" t="s">
        <v>16</v>
      </c>
      <c r="B50" t="s">
        <v>14</v>
      </c>
      <c r="C50" s="1">
        <v>25.636547207507761</v>
      </c>
      <c r="D50" s="2">
        <v>43262</v>
      </c>
      <c r="E50" s="1"/>
      <c r="G50" t="s">
        <v>38</v>
      </c>
      <c r="H50" t="s">
        <v>7</v>
      </c>
      <c r="I50" t="s">
        <v>69</v>
      </c>
      <c r="J50" t="s">
        <v>10</v>
      </c>
      <c r="L50" s="6" cm="1">
        <f t="array" ref="L50">_xlfn.XLOOKUP(G50&amp;H50,$A$15:$A$84&amp;$B$15:$B$84,$D$15:$D$84,"")</f>
        <v>43251</v>
      </c>
      <c r="N50" s="5" t="str">
        <f t="shared" si="0"/>
        <v>Exists</v>
      </c>
    </row>
    <row r="51" spans="1:14" x14ac:dyDescent="0.3">
      <c r="A51" t="s">
        <v>52</v>
      </c>
      <c r="B51" t="s">
        <v>14</v>
      </c>
      <c r="C51" s="1">
        <v>26.984301973113247</v>
      </c>
      <c r="D51" s="2">
        <v>43244</v>
      </c>
      <c r="E51" s="1"/>
      <c r="G51" t="s">
        <v>64</v>
      </c>
      <c r="H51" t="s">
        <v>9</v>
      </c>
      <c r="I51" t="s">
        <v>70</v>
      </c>
      <c r="J51" t="s">
        <v>10</v>
      </c>
      <c r="L51" s="6" cm="1">
        <f t="array" ref="L51">_xlfn.XLOOKUP(G51&amp;H51,$A$15:$A$84&amp;$B$15:$B$84,$D$15:$D$84,"")</f>
        <v>43316</v>
      </c>
      <c r="N51" s="5" t="str">
        <f t="shared" si="0"/>
        <v>Exists</v>
      </c>
    </row>
    <row r="52" spans="1:14" x14ac:dyDescent="0.3">
      <c r="A52" t="s">
        <v>41</v>
      </c>
      <c r="B52" t="s">
        <v>7</v>
      </c>
      <c r="C52" s="1">
        <v>26.669859588362321</v>
      </c>
      <c r="D52" s="2">
        <v>43315</v>
      </c>
      <c r="E52" s="1"/>
      <c r="G52" t="s">
        <v>21</v>
      </c>
      <c r="H52" t="s">
        <v>7</v>
      </c>
      <c r="I52" t="s">
        <v>70</v>
      </c>
      <c r="J52" t="s">
        <v>10</v>
      </c>
      <c r="L52" s="6" cm="1">
        <f t="array" ref="L52">_xlfn.XLOOKUP(G52&amp;H52,$A$15:$A$84&amp;$B$15:$B$84,$D$15:$D$84,"")</f>
        <v>43296</v>
      </c>
      <c r="N52" s="5" t="str">
        <f t="shared" si="0"/>
        <v>Exists</v>
      </c>
    </row>
    <row r="53" spans="1:14" x14ac:dyDescent="0.3">
      <c r="A53" t="s">
        <v>34</v>
      </c>
      <c r="B53" t="s">
        <v>9</v>
      </c>
      <c r="C53" s="1">
        <v>27.135129669463943</v>
      </c>
      <c r="D53" s="2">
        <v>43245</v>
      </c>
      <c r="E53" s="1"/>
      <c r="G53" t="s">
        <v>48</v>
      </c>
      <c r="H53" t="s">
        <v>14</v>
      </c>
      <c r="I53" t="s">
        <v>69</v>
      </c>
      <c r="J53" t="s">
        <v>10</v>
      </c>
      <c r="L53" s="6" cm="1">
        <f t="array" ref="L53">_xlfn.XLOOKUP(G53&amp;H53,$A$15:$A$84&amp;$B$15:$B$84,$D$15:$D$84,"")</f>
        <v>43307</v>
      </c>
      <c r="N53" s="5" t="str">
        <f t="shared" si="0"/>
        <v>Exists</v>
      </c>
    </row>
    <row r="54" spans="1:14" x14ac:dyDescent="0.3">
      <c r="A54" t="s">
        <v>55</v>
      </c>
      <c r="B54" t="s">
        <v>7</v>
      </c>
      <c r="C54" s="1">
        <v>39.948277276482109</v>
      </c>
      <c r="D54" s="2">
        <v>43246</v>
      </c>
      <c r="E54" s="1"/>
      <c r="G54" t="s">
        <v>56</v>
      </c>
      <c r="H54" t="s">
        <v>7</v>
      </c>
      <c r="I54" t="s">
        <v>11</v>
      </c>
      <c r="J54" t="s">
        <v>10</v>
      </c>
      <c r="L54" s="6" cm="1">
        <f t="array" ref="L54">_xlfn.XLOOKUP(G54&amp;H54,$A$15:$A$84&amp;$B$15:$B$84,$D$15:$D$84,"")</f>
        <v>43293</v>
      </c>
      <c r="N54" s="5" t="str">
        <f t="shared" si="0"/>
        <v>Exists</v>
      </c>
    </row>
    <row r="55" spans="1:14" x14ac:dyDescent="0.3">
      <c r="A55" t="s">
        <v>37</v>
      </c>
      <c r="B55" t="s">
        <v>9</v>
      </c>
      <c r="C55" s="1">
        <v>27.559974584877569</v>
      </c>
      <c r="D55" s="2">
        <v>43312</v>
      </c>
      <c r="E55" s="1"/>
      <c r="G55" t="s">
        <v>65</v>
      </c>
      <c r="H55" t="s">
        <v>7</v>
      </c>
      <c r="I55" t="s">
        <v>70</v>
      </c>
      <c r="J55" t="s">
        <v>71</v>
      </c>
      <c r="L55" s="6" cm="1">
        <f t="array" ref="L55">_xlfn.XLOOKUP(G55&amp;H55,$A$15:$A$84&amp;$B$15:$B$84,$D$15:$D$84,"")</f>
        <v>43277</v>
      </c>
      <c r="N55" s="5" t="str">
        <f t="shared" si="0"/>
        <v>Exists</v>
      </c>
    </row>
    <row r="56" spans="1:14" x14ac:dyDescent="0.3">
      <c r="A56" t="s">
        <v>43</v>
      </c>
      <c r="B56" t="s">
        <v>14</v>
      </c>
      <c r="C56" s="1">
        <v>28.886694882496506</v>
      </c>
      <c r="D56" s="2">
        <v>43302</v>
      </c>
      <c r="E56" s="1"/>
      <c r="G56" t="s">
        <v>39</v>
      </c>
      <c r="H56" t="s">
        <v>9</v>
      </c>
      <c r="I56" t="s">
        <v>70</v>
      </c>
      <c r="J56" t="s">
        <v>10</v>
      </c>
      <c r="L56" s="6" cm="1">
        <f t="array" ref="L56">_xlfn.XLOOKUP(G56&amp;H56,$A$15:$A$84&amp;$B$15:$B$84,$D$15:$D$84,"")</f>
        <v>43278</v>
      </c>
      <c r="N56" s="5" t="str">
        <f t="shared" si="0"/>
        <v>Exists</v>
      </c>
    </row>
    <row r="57" spans="1:14" x14ac:dyDescent="0.3">
      <c r="A57" t="s">
        <v>12</v>
      </c>
      <c r="B57" t="s">
        <v>7</v>
      </c>
      <c r="C57" s="1">
        <v>28.895948360917401</v>
      </c>
      <c r="D57" s="2">
        <v>43283</v>
      </c>
      <c r="E57" s="1"/>
      <c r="G57" t="s">
        <v>22</v>
      </c>
      <c r="H57" t="s">
        <v>7</v>
      </c>
      <c r="I57" t="s">
        <v>70</v>
      </c>
      <c r="J57" t="s">
        <v>10</v>
      </c>
      <c r="L57" s="6" cm="1">
        <f t="array" ref="L57">_xlfn.XLOOKUP(G57&amp;H57,$A$15:$A$84&amp;$B$15:$B$84,$D$15:$D$84,"")</f>
        <v>43318</v>
      </c>
      <c r="N57" s="5" t="str">
        <f t="shared" si="0"/>
        <v>Exists</v>
      </c>
    </row>
    <row r="58" spans="1:14" x14ac:dyDescent="0.3">
      <c r="A58" t="s">
        <v>18</v>
      </c>
      <c r="B58" t="s">
        <v>14</v>
      </c>
      <c r="C58" s="1">
        <v>29.410990534410718</v>
      </c>
      <c r="D58" s="2">
        <v>43289</v>
      </c>
      <c r="E58" s="1"/>
      <c r="G58" t="s">
        <v>22</v>
      </c>
      <c r="H58" t="s">
        <v>9</v>
      </c>
      <c r="I58" t="s">
        <v>11</v>
      </c>
      <c r="J58" t="s">
        <v>10</v>
      </c>
      <c r="L58" s="6" cm="1">
        <f t="array" ref="L58">_xlfn.XLOOKUP(G58&amp;H58,$A$15:$A$84&amp;$B$15:$B$84,$D$15:$D$84,"")</f>
        <v>43318</v>
      </c>
      <c r="N58" s="5" t="str">
        <f t="shared" si="0"/>
        <v>Exists</v>
      </c>
    </row>
    <row r="59" spans="1:14" x14ac:dyDescent="0.3">
      <c r="A59" t="s">
        <v>13</v>
      </c>
      <c r="B59" t="s">
        <v>14</v>
      </c>
      <c r="C59" s="1">
        <v>29.516338194356006</v>
      </c>
      <c r="D59" s="2">
        <v>43252</v>
      </c>
      <c r="E59" s="1"/>
      <c r="G59" t="s">
        <v>40</v>
      </c>
      <c r="H59" t="s">
        <v>14</v>
      </c>
      <c r="I59" t="s">
        <v>11</v>
      </c>
      <c r="J59" t="s">
        <v>71</v>
      </c>
      <c r="L59" s="6" cm="1">
        <f t="array" ref="L59">_xlfn.XLOOKUP(G59&amp;H59,$A$15:$A$84&amp;$B$15:$B$84,$D$15:$D$84,"")</f>
        <v>43298</v>
      </c>
      <c r="N59" s="5" t="str">
        <f t="shared" si="0"/>
        <v>Exists</v>
      </c>
    </row>
    <row r="60" spans="1:14" x14ac:dyDescent="0.3">
      <c r="A60" t="s">
        <v>45</v>
      </c>
      <c r="B60" t="s">
        <v>14</v>
      </c>
      <c r="C60" s="1">
        <v>29.750078435330607</v>
      </c>
      <c r="D60" s="2">
        <v>43326</v>
      </c>
      <c r="E60" s="1"/>
      <c r="G60" t="s">
        <v>31</v>
      </c>
      <c r="H60" t="s">
        <v>9</v>
      </c>
      <c r="I60" t="s">
        <v>70</v>
      </c>
      <c r="J60" t="s">
        <v>71</v>
      </c>
      <c r="L60" s="6" cm="1">
        <f t="array" ref="L60">_xlfn.XLOOKUP(G60&amp;H60,$A$15:$A$84&amp;$B$15:$B$84,$D$15:$D$84,"")</f>
        <v>43309</v>
      </c>
      <c r="N60" s="5" t="str">
        <f t="shared" si="0"/>
        <v>Exists</v>
      </c>
    </row>
    <row r="61" spans="1:14" x14ac:dyDescent="0.3">
      <c r="A61" t="s">
        <v>36</v>
      </c>
      <c r="B61" t="s">
        <v>9</v>
      </c>
      <c r="C61" s="1">
        <v>16.250022790368636</v>
      </c>
      <c r="D61" s="2">
        <v>43249</v>
      </c>
      <c r="E61" s="1"/>
      <c r="G61" t="s">
        <v>57</v>
      </c>
      <c r="H61" t="s">
        <v>9</v>
      </c>
      <c r="I61" t="s">
        <v>70</v>
      </c>
      <c r="J61" t="s">
        <v>10</v>
      </c>
      <c r="L61" s="6" cm="1">
        <f t="array" ref="L61">_xlfn.XLOOKUP(G61&amp;H61,$A$15:$A$84&amp;$B$15:$B$84,$D$15:$D$84,"")</f>
        <v>43263</v>
      </c>
      <c r="N61" s="5" t="str">
        <f t="shared" si="0"/>
        <v>Exists</v>
      </c>
    </row>
    <row r="62" spans="1:14" x14ac:dyDescent="0.3">
      <c r="A62" t="s">
        <v>19</v>
      </c>
      <c r="B62" t="s">
        <v>14</v>
      </c>
      <c r="C62" s="1">
        <v>31.321206471509218</v>
      </c>
      <c r="D62" s="2">
        <v>43313</v>
      </c>
      <c r="E62" s="1"/>
      <c r="G62" t="s">
        <v>49</v>
      </c>
      <c r="H62" t="s">
        <v>14</v>
      </c>
      <c r="I62" t="s">
        <v>70</v>
      </c>
      <c r="J62" t="s">
        <v>10</v>
      </c>
      <c r="L62" s="6" cm="1">
        <f t="array" ref="L62">_xlfn.XLOOKUP(G62&amp;H62,$A$15:$A$84&amp;$B$15:$B$84,$D$15:$D$84,"")</f>
        <v>43286</v>
      </c>
      <c r="N62" s="5" t="str">
        <f t="shared" si="0"/>
        <v>Exists</v>
      </c>
    </row>
    <row r="63" spans="1:14" x14ac:dyDescent="0.3">
      <c r="A63" t="s">
        <v>68</v>
      </c>
      <c r="B63" t="s">
        <v>9</v>
      </c>
      <c r="C63" s="1">
        <v>26.246215615507921</v>
      </c>
      <c r="D63" s="2">
        <v>43249</v>
      </c>
      <c r="E63" s="1"/>
      <c r="G63" t="s">
        <v>49</v>
      </c>
      <c r="H63" t="s">
        <v>9</v>
      </c>
      <c r="I63" t="s">
        <v>70</v>
      </c>
      <c r="J63" t="s">
        <v>10</v>
      </c>
      <c r="L63" s="6" cm="1">
        <f t="array" ref="L63">_xlfn.XLOOKUP(G63&amp;H63,$A$15:$A$84&amp;$B$15:$B$84,$D$15:$D$84,"")</f>
        <v>43268</v>
      </c>
      <c r="N63" s="5" t="str">
        <f t="shared" si="0"/>
        <v>Exists</v>
      </c>
    </row>
    <row r="64" spans="1:14" x14ac:dyDescent="0.3">
      <c r="A64" t="s">
        <v>64</v>
      </c>
      <c r="B64" t="s">
        <v>9</v>
      </c>
      <c r="C64" s="1">
        <v>33.265317250505049</v>
      </c>
      <c r="D64" s="2">
        <v>43316</v>
      </c>
      <c r="E64" s="1"/>
      <c r="G64" t="s">
        <v>32</v>
      </c>
      <c r="H64" t="s">
        <v>7</v>
      </c>
      <c r="I64" t="s">
        <v>69</v>
      </c>
      <c r="J64" t="s">
        <v>71</v>
      </c>
      <c r="L64" s="6" cm="1">
        <f t="array" ref="L64">_xlfn.XLOOKUP(G64&amp;H64,$A$15:$A$84&amp;$B$15:$B$84,$D$15:$D$84,"")</f>
        <v>43268</v>
      </c>
      <c r="N64" s="5" t="str">
        <f t="shared" si="0"/>
        <v>Exists</v>
      </c>
    </row>
    <row r="65" spans="1:14" x14ac:dyDescent="0.3">
      <c r="A65" t="s">
        <v>65</v>
      </c>
      <c r="B65" t="s">
        <v>7</v>
      </c>
      <c r="C65" s="1">
        <v>33.304178566964104</v>
      </c>
      <c r="D65" s="2">
        <v>43277</v>
      </c>
      <c r="E65" s="1"/>
      <c r="G65" t="s">
        <v>23</v>
      </c>
      <c r="H65" t="s">
        <v>9</v>
      </c>
      <c r="I65" t="s">
        <v>69</v>
      </c>
      <c r="J65" t="s">
        <v>10</v>
      </c>
      <c r="L65" s="6" cm="1">
        <f t="array" ref="L65">_xlfn.XLOOKUP(G65&amp;H65,$A$15:$A$84&amp;$B$15:$B$84,$D$15:$D$84,"")</f>
        <v>43285</v>
      </c>
      <c r="N65" s="5" t="str">
        <f t="shared" si="0"/>
        <v>Exists</v>
      </c>
    </row>
    <row r="66" spans="1:14" x14ac:dyDescent="0.3">
      <c r="A66" t="s">
        <v>13</v>
      </c>
      <c r="B66" t="s">
        <v>9</v>
      </c>
      <c r="C66" s="1">
        <v>33.505828649532042</v>
      </c>
      <c r="D66" s="2">
        <v>43307</v>
      </c>
      <c r="E66" s="1"/>
      <c r="G66" t="s">
        <v>66</v>
      </c>
      <c r="H66" t="s">
        <v>7</v>
      </c>
      <c r="I66" t="s">
        <v>70</v>
      </c>
      <c r="J66" t="s">
        <v>10</v>
      </c>
      <c r="L66" s="6" cm="1">
        <f t="array" ref="L66">_xlfn.XLOOKUP(G66&amp;H66,$A$15:$A$84&amp;$B$15:$B$84,$D$15:$D$84,"")</f>
        <v>43314</v>
      </c>
      <c r="N66" s="5" t="str">
        <f t="shared" si="0"/>
        <v>Exists</v>
      </c>
    </row>
    <row r="67" spans="1:14" x14ac:dyDescent="0.3">
      <c r="A67" t="s">
        <v>65</v>
      </c>
      <c r="B67" t="s">
        <v>14</v>
      </c>
      <c r="C67" s="1">
        <v>34.186804087291868</v>
      </c>
      <c r="D67" s="2">
        <v>43269</v>
      </c>
      <c r="E67" s="1"/>
      <c r="G67" t="s">
        <v>58</v>
      </c>
      <c r="H67" t="s">
        <v>14</v>
      </c>
      <c r="I67" t="s">
        <v>11</v>
      </c>
      <c r="J67" t="s">
        <v>71</v>
      </c>
      <c r="L67" s="6" cm="1">
        <f t="array" ref="L67">_xlfn.XLOOKUP(G67&amp;H67,$A$15:$A$84&amp;$B$15:$B$84,$D$15:$D$84,"")</f>
        <v>43319</v>
      </c>
      <c r="N67" s="5" t="str">
        <f t="shared" si="0"/>
        <v>Missing</v>
      </c>
    </row>
    <row r="68" spans="1:14" x14ac:dyDescent="0.3">
      <c r="A68" t="s">
        <v>53</v>
      </c>
      <c r="B68" t="s">
        <v>14</v>
      </c>
      <c r="C68" s="1">
        <v>34.423369867055158</v>
      </c>
      <c r="D68" s="2">
        <v>43257</v>
      </c>
      <c r="E68" s="1"/>
      <c r="G68" t="s">
        <v>33</v>
      </c>
      <c r="H68" t="s">
        <v>9</v>
      </c>
      <c r="I68" t="s">
        <v>69</v>
      </c>
      <c r="J68" t="s">
        <v>10</v>
      </c>
      <c r="L68" s="6" cm="1">
        <f t="array" ref="L68">_xlfn.XLOOKUP(G68&amp;H68,$A$15:$A$84&amp;$B$15:$B$84,$D$15:$D$84,"")</f>
        <v>43281</v>
      </c>
      <c r="N68" s="5" t="str">
        <f t="shared" si="0"/>
        <v>Exists</v>
      </c>
    </row>
    <row r="69" spans="1:14" x14ac:dyDescent="0.3">
      <c r="A69" t="s">
        <v>22</v>
      </c>
      <c r="B69" t="s">
        <v>7</v>
      </c>
      <c r="C69" s="1">
        <v>34.542120945608502</v>
      </c>
      <c r="D69" s="2">
        <v>43318</v>
      </c>
      <c r="E69" s="1"/>
      <c r="G69" t="s">
        <v>8</v>
      </c>
      <c r="H69" t="s">
        <v>9</v>
      </c>
      <c r="I69" t="s">
        <v>70</v>
      </c>
      <c r="J69" t="s">
        <v>10</v>
      </c>
      <c r="L69" s="6" cm="1">
        <f t="array" ref="L69">_xlfn.XLOOKUP(G69&amp;H69,$A$15:$A$84&amp;$B$15:$B$84,$D$15:$D$84,"")</f>
        <v>43239</v>
      </c>
      <c r="N69" s="5" t="str">
        <f t="shared" si="0"/>
        <v>Exists</v>
      </c>
    </row>
    <row r="70" spans="1:14" x14ac:dyDescent="0.3">
      <c r="A70" t="s">
        <v>59</v>
      </c>
      <c r="B70" t="s">
        <v>7</v>
      </c>
      <c r="C70" s="1">
        <v>35.043414956921573</v>
      </c>
      <c r="D70" s="2">
        <v>43294</v>
      </c>
      <c r="E70" s="1"/>
      <c r="G70" t="s">
        <v>59</v>
      </c>
      <c r="H70" t="s">
        <v>7</v>
      </c>
      <c r="I70" t="s">
        <v>70</v>
      </c>
      <c r="J70" t="s">
        <v>10</v>
      </c>
      <c r="L70" s="6" cm="1">
        <f t="array" ref="L70">_xlfn.XLOOKUP(G70&amp;H70,$A$15:$A$84&amp;$B$15:$B$84,$D$15:$D$84,"")</f>
        <v>43294</v>
      </c>
      <c r="N70" s="5" t="str">
        <f t="shared" si="0"/>
        <v>Exists</v>
      </c>
    </row>
    <row r="71" spans="1:14" x14ac:dyDescent="0.3">
      <c r="A71" t="s">
        <v>51</v>
      </c>
      <c r="B71" t="s">
        <v>14</v>
      </c>
      <c r="C71" s="1">
        <v>35.566728663259326</v>
      </c>
      <c r="D71" s="2">
        <v>43304</v>
      </c>
      <c r="E71" s="1"/>
      <c r="G71" t="s">
        <v>67</v>
      </c>
      <c r="H71" t="s">
        <v>14</v>
      </c>
      <c r="I71" t="s">
        <v>11</v>
      </c>
      <c r="J71" t="s">
        <v>71</v>
      </c>
      <c r="L71" s="6" cm="1">
        <f t="array" ref="L71">_xlfn.XLOOKUP(G71&amp;H71,$A$15:$A$84&amp;$B$15:$B$84,$D$15:$D$84,"")</f>
        <v>43300</v>
      </c>
      <c r="N71" s="5" t="str">
        <f t="shared" si="0"/>
        <v>Exists</v>
      </c>
    </row>
    <row r="72" spans="1:14" x14ac:dyDescent="0.3">
      <c r="A72" t="s">
        <v>35</v>
      </c>
      <c r="B72" t="s">
        <v>9</v>
      </c>
      <c r="C72" s="1">
        <v>36.243145715574208</v>
      </c>
      <c r="D72" s="2">
        <v>43323</v>
      </c>
      <c r="E72" s="1"/>
      <c r="G72" t="s">
        <v>41</v>
      </c>
      <c r="H72" t="s">
        <v>7</v>
      </c>
      <c r="I72" t="s">
        <v>11</v>
      </c>
      <c r="J72" t="s">
        <v>10</v>
      </c>
      <c r="L72" s="6" cm="1">
        <f t="array" ref="L72">_xlfn.XLOOKUP(G72&amp;H72,$A$15:$A$84&amp;$B$15:$B$84,$D$15:$D$84,"")</f>
        <v>43315</v>
      </c>
      <c r="N72" s="5" t="str">
        <f t="shared" si="0"/>
        <v>Exists</v>
      </c>
    </row>
    <row r="73" spans="1:14" x14ac:dyDescent="0.3">
      <c r="A73" t="s">
        <v>24</v>
      </c>
      <c r="B73" t="s">
        <v>9</v>
      </c>
      <c r="C73" s="1">
        <v>36.792569304832433</v>
      </c>
      <c r="D73" s="2">
        <v>43285</v>
      </c>
      <c r="E73" s="1"/>
      <c r="G73" t="s">
        <v>68</v>
      </c>
      <c r="H73" t="s">
        <v>9</v>
      </c>
      <c r="I73" t="s">
        <v>70</v>
      </c>
      <c r="J73" t="s">
        <v>71</v>
      </c>
      <c r="L73" s="6" cm="1">
        <f t="array" ref="L73">_xlfn.XLOOKUP(G73&amp;H73,$A$15:$A$84&amp;$B$15:$B$84,$D$15:$D$84,"")</f>
        <v>43249</v>
      </c>
      <c r="N73" s="5" t="str">
        <f t="shared" si="0"/>
        <v>Exists</v>
      </c>
    </row>
    <row r="74" spans="1:14" x14ac:dyDescent="0.3">
      <c r="A74" t="s">
        <v>23</v>
      </c>
      <c r="B74" t="s">
        <v>9</v>
      </c>
      <c r="C74" s="1">
        <v>37.058081418713506</v>
      </c>
      <c r="D74" s="2">
        <v>43285</v>
      </c>
      <c r="E74" s="1"/>
      <c r="G74" t="s">
        <v>60</v>
      </c>
      <c r="H74" t="s">
        <v>9</v>
      </c>
      <c r="I74" t="s">
        <v>69</v>
      </c>
      <c r="J74" t="s">
        <v>10</v>
      </c>
      <c r="L74" s="6" cm="1">
        <f t="array" ref="L74">_xlfn.XLOOKUP(G74&amp;H74,$A$15:$A$84&amp;$B$15:$B$84,$D$15:$D$84,"")</f>
        <v>43285</v>
      </c>
      <c r="N74" s="5" t="str">
        <f t="shared" si="0"/>
        <v>Exists</v>
      </c>
    </row>
    <row r="75" spans="1:14" x14ac:dyDescent="0.3">
      <c r="A75" t="s">
        <v>54</v>
      </c>
      <c r="B75" t="s">
        <v>7</v>
      </c>
      <c r="C75" s="1">
        <v>37.111189970471351</v>
      </c>
      <c r="D75" s="2">
        <v>43319</v>
      </c>
      <c r="E75" s="1"/>
      <c r="G75" t="s">
        <v>42</v>
      </c>
      <c r="H75" t="s">
        <v>14</v>
      </c>
      <c r="I75" t="s">
        <v>70</v>
      </c>
      <c r="J75" t="s">
        <v>71</v>
      </c>
      <c r="L75" s="6" cm="1">
        <f t="array" ref="L75">_xlfn.XLOOKUP(G75&amp;H75,$A$15:$A$84&amp;$B$15:$B$84,$D$15:$D$84,"")</f>
        <v>43241</v>
      </c>
      <c r="N75" s="5" t="str">
        <f t="shared" si="0"/>
        <v>Exists</v>
      </c>
    </row>
    <row r="76" spans="1:14" x14ac:dyDescent="0.3">
      <c r="A76" t="s">
        <v>49</v>
      </c>
      <c r="B76" t="s">
        <v>14</v>
      </c>
      <c r="C76" s="1">
        <v>37.946178264921059</v>
      </c>
      <c r="D76" s="2">
        <v>43286</v>
      </c>
      <c r="E76" s="1"/>
      <c r="G76" t="s">
        <v>61</v>
      </c>
      <c r="H76" t="s">
        <v>14</v>
      </c>
      <c r="I76" t="s">
        <v>11</v>
      </c>
      <c r="J76" t="s">
        <v>71</v>
      </c>
      <c r="L76" s="6" cm="1">
        <f t="array" ref="L76">_xlfn.XLOOKUP(G76&amp;H76,$A$15:$A$84&amp;$B$15:$B$84,$D$15:$D$84,"")</f>
        <v>43317</v>
      </c>
      <c r="N76" s="5" t="str">
        <f t="shared" si="0"/>
        <v>Exists</v>
      </c>
    </row>
    <row r="77" spans="1:14" x14ac:dyDescent="0.3">
      <c r="A77" t="s">
        <v>12</v>
      </c>
      <c r="B77" t="s">
        <v>9</v>
      </c>
      <c r="C77" s="1">
        <v>31.063623025910331</v>
      </c>
      <c r="D77" s="2">
        <v>43249</v>
      </c>
      <c r="E77" s="1"/>
      <c r="G77" t="s">
        <v>50</v>
      </c>
      <c r="H77" t="s">
        <v>14</v>
      </c>
      <c r="I77" t="s">
        <v>11</v>
      </c>
      <c r="J77" t="s">
        <v>71</v>
      </c>
      <c r="L77" s="6" cm="1">
        <f t="array" ref="L77">_xlfn.XLOOKUP(G77&amp;H77,$A$15:$A$84&amp;$B$15:$B$84,$D$15:$D$84,"")</f>
        <v>43291</v>
      </c>
      <c r="N77" s="5" t="str">
        <f t="shared" si="0"/>
        <v>Missing</v>
      </c>
    </row>
    <row r="78" spans="1:14" x14ac:dyDescent="0.3">
      <c r="A78" t="s">
        <v>22</v>
      </c>
      <c r="B78" t="s">
        <v>9</v>
      </c>
      <c r="C78" s="1">
        <v>40.197120964421266</v>
      </c>
      <c r="D78" s="2">
        <v>43318</v>
      </c>
      <c r="E78" s="1"/>
      <c r="G78" t="s">
        <v>51</v>
      </c>
      <c r="H78" t="s">
        <v>14</v>
      </c>
      <c r="I78" t="s">
        <v>11</v>
      </c>
      <c r="J78" t="s">
        <v>10</v>
      </c>
      <c r="L78" s="6" cm="1">
        <f t="array" ref="L78">_xlfn.XLOOKUP(G78&amp;H78,$A$15:$A$84&amp;$B$15:$B$84,$D$15:$D$84,"")</f>
        <v>43304</v>
      </c>
      <c r="N78" s="5" t="str">
        <f t="shared" si="0"/>
        <v>Exists</v>
      </c>
    </row>
    <row r="79" spans="1:14" x14ac:dyDescent="0.3">
      <c r="A79" t="s">
        <v>38</v>
      </c>
      <c r="B79" t="s">
        <v>7</v>
      </c>
      <c r="C79" s="1">
        <v>4.8385032882286865</v>
      </c>
      <c r="D79" s="2">
        <v>43251</v>
      </c>
      <c r="E79" s="1"/>
      <c r="G79" t="s">
        <v>52</v>
      </c>
      <c r="H79" t="s">
        <v>14</v>
      </c>
      <c r="I79" t="s">
        <v>11</v>
      </c>
      <c r="J79" t="s">
        <v>10</v>
      </c>
      <c r="L79" s="6" cm="1">
        <f t="array" ref="L79">_xlfn.XLOOKUP(G79&amp;H79,$A$15:$A$84&amp;$B$15:$B$84,$D$15:$D$84,"")</f>
        <v>43244</v>
      </c>
      <c r="N79" s="5" t="str">
        <f t="shared" si="0"/>
        <v>Exists</v>
      </c>
    </row>
    <row r="80" spans="1:14" x14ac:dyDescent="0.3">
      <c r="A80" t="s">
        <v>61</v>
      </c>
      <c r="B80" t="s">
        <v>14</v>
      </c>
      <c r="C80" s="1">
        <v>44.169676876121557</v>
      </c>
      <c r="D80" s="2">
        <v>43317</v>
      </c>
      <c r="E80" s="1"/>
      <c r="G80" s="21" t="s">
        <v>49</v>
      </c>
      <c r="H80" s="21" t="s">
        <v>7</v>
      </c>
      <c r="I80" s="21" t="s">
        <v>69</v>
      </c>
      <c r="J80" s="21" t="s">
        <v>71</v>
      </c>
      <c r="L80" s="6" cm="1">
        <f t="array" ref="L80">_xlfn.XLOOKUP(G80&amp;H80,$A$15:$A$84&amp;$B$15:$B$84,$D$15:$D$84,"")</f>
        <v>43273</v>
      </c>
      <c r="N80" s="5"/>
    </row>
    <row r="81" spans="1:14" x14ac:dyDescent="0.3">
      <c r="A81" t="s">
        <v>48</v>
      </c>
      <c r="B81" t="s">
        <v>14</v>
      </c>
      <c r="C81" s="1">
        <v>44.911275080894519</v>
      </c>
      <c r="D81" s="2">
        <v>43307</v>
      </c>
      <c r="E81" s="1"/>
      <c r="G81" s="21" t="s">
        <v>58</v>
      </c>
      <c r="H81" s="21" t="s">
        <v>9</v>
      </c>
      <c r="I81" s="21" t="s">
        <v>69</v>
      </c>
      <c r="J81" s="21" t="s">
        <v>71</v>
      </c>
      <c r="L81" s="6" cm="1">
        <f t="array" ref="L81">_xlfn.XLOOKUP(G81&amp;H81,$A$15:$A$84&amp;$B$15:$B$84,$D$15:$D$84,"")</f>
        <v>43299</v>
      </c>
      <c r="N81" s="5"/>
    </row>
    <row r="82" spans="1:14" x14ac:dyDescent="0.3">
      <c r="A82" t="s">
        <v>47</v>
      </c>
      <c r="B82" t="s">
        <v>14</v>
      </c>
      <c r="C82" s="1">
        <v>45.162638531609169</v>
      </c>
      <c r="D82" s="2">
        <v>43278</v>
      </c>
      <c r="E82" s="1"/>
      <c r="G82" s="21" t="s">
        <v>31</v>
      </c>
      <c r="H82" s="21" t="s">
        <v>7</v>
      </c>
      <c r="I82" s="21" t="s">
        <v>11</v>
      </c>
      <c r="J82" s="21" t="s">
        <v>71</v>
      </c>
      <c r="L82" s="6" cm="1">
        <f t="array" ref="L82">_xlfn.XLOOKUP(G82&amp;H82,$A$15:$A$84&amp;$B$15:$B$84,$D$15:$D$84,"")</f>
        <v>43259</v>
      </c>
      <c r="N82" s="5"/>
    </row>
    <row r="83" spans="1:14" x14ac:dyDescent="0.3">
      <c r="A83" t="s">
        <v>25</v>
      </c>
      <c r="B83" t="s">
        <v>9</v>
      </c>
      <c r="C83" s="1">
        <v>45.285267631464819</v>
      </c>
      <c r="D83" s="2">
        <v>43299</v>
      </c>
      <c r="E83" s="1"/>
      <c r="G83" s="21" t="s">
        <v>65</v>
      </c>
      <c r="H83" s="21" t="s">
        <v>14</v>
      </c>
      <c r="I83" s="21" t="s">
        <v>11</v>
      </c>
      <c r="J83" s="21" t="s">
        <v>71</v>
      </c>
      <c r="L83" s="6" cm="1">
        <f t="array" ref="L83">_xlfn.XLOOKUP(G83&amp;H83,$A$15:$A$84&amp;$B$15:$B$84,$D$15:$D$84,"")</f>
        <v>43269</v>
      </c>
      <c r="N83" s="5"/>
    </row>
    <row r="84" spans="1:14" x14ac:dyDescent="0.3">
      <c r="A84" t="s">
        <v>39</v>
      </c>
      <c r="B84" t="s">
        <v>9</v>
      </c>
      <c r="C84" s="1">
        <v>45.422328401554111</v>
      </c>
      <c r="D84" s="2">
        <v>43278</v>
      </c>
      <c r="E84" s="1"/>
      <c r="G84" s="21" t="s">
        <v>12</v>
      </c>
      <c r="H84" s="21" t="s">
        <v>9</v>
      </c>
      <c r="I84" s="21" t="s">
        <v>11</v>
      </c>
      <c r="J84" s="21" t="s">
        <v>71</v>
      </c>
      <c r="L84" s="6" cm="1">
        <f t="array" ref="L84">_xlfn.XLOOKUP(G84&amp;H84,$A$15:$A$84&amp;$B$15:$B$84,$D$15:$D$84,"")</f>
        <v>43249</v>
      </c>
      <c r="N84" s="5"/>
    </row>
  </sheetData>
  <mergeCells count="18">
    <mergeCell ref="A10:J10"/>
    <mergeCell ref="A11:J11"/>
    <mergeCell ref="A9:J9"/>
    <mergeCell ref="F6:J6"/>
    <mergeCell ref="F4:J4"/>
    <mergeCell ref="A5:J5"/>
    <mergeCell ref="A7:J7"/>
    <mergeCell ref="A1:J1"/>
    <mergeCell ref="A2:J2"/>
    <mergeCell ref="A8:J8"/>
    <mergeCell ref="A4:D4"/>
    <mergeCell ref="A6:D6"/>
    <mergeCell ref="A3:J3"/>
    <mergeCell ref="A12:J12"/>
    <mergeCell ref="N12:T12"/>
    <mergeCell ref="P13:R13"/>
    <mergeCell ref="A13:D13"/>
    <mergeCell ref="G13:J13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Rustam.Kharisov</dc:creator>
  <cp:lastModifiedBy>Егор Анисимов</cp:lastModifiedBy>
  <dcterms:created xsi:type="dcterms:W3CDTF">2018-08-15T11:07:28Z</dcterms:created>
  <dcterms:modified xsi:type="dcterms:W3CDTF">2026-08-18T17:47:33Z</dcterms:modified>
</cp:coreProperties>
</file>